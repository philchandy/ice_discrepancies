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tzi\OneDrive\Documents\neu_part_2\CS7250\CS7250_trends_in_american_immigration_enforcement\"/>
    </mc:Choice>
  </mc:AlternateContent>
  <xr:revisionPtr revIDLastSave="0" documentId="13_ncr:1_{C9F3179A-3171-4AAB-A8AB-6F5FFE2C79BB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Sheet1!$A$2:$J$651</definedName>
  </definedNames>
  <calcPr calcId="191029"/>
  <pivotCaches>
    <pivotCache cacheId="3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/>
  <c r="G29" i="1" a="1"/>
  <c r="G29" i="1" s="1"/>
  <c r="G30" i="1" a="1"/>
  <c r="G30" i="1" s="1"/>
  <c r="G31" i="1" a="1"/>
  <c r="G31" i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 s="1"/>
  <c r="G39" i="1" a="1"/>
  <c r="G39" i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/>
  <c r="G208" i="1" a="1"/>
  <c r="G208" i="1" s="1"/>
  <c r="G209" i="1" a="1"/>
  <c r="G209" i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/>
  <c r="G218" i="1" a="1"/>
  <c r="G218" i="1" s="1"/>
  <c r="G219" i="1" a="1"/>
  <c r="G219" i="1"/>
  <c r="G220" i="1" a="1"/>
  <c r="G220" i="1"/>
  <c r="G221" i="1" a="1"/>
  <c r="G221" i="1" s="1"/>
  <c r="G222" i="1" a="1"/>
  <c r="G222" i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/>
  <c r="G233" i="1" a="1"/>
  <c r="G233" i="1"/>
  <c r="G234" i="1" a="1"/>
  <c r="G234" i="1" s="1"/>
  <c r="G235" i="1" a="1"/>
  <c r="G235" i="1"/>
  <c r="G236" i="1" a="1"/>
  <c r="G236" i="1" s="1"/>
  <c r="G237" i="1" a="1"/>
  <c r="G237" i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/>
  <c r="G246" i="1" a="1"/>
  <c r="G246" i="1"/>
  <c r="G247" i="1" a="1"/>
  <c r="G247" i="1" s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 s="1"/>
  <c r="G255" i="1" a="1"/>
  <c r="G255" i="1"/>
  <c r="G256" i="1" a="1"/>
  <c r="G256" i="1" s="1"/>
  <c r="G257" i="1" a="1"/>
  <c r="G257" i="1" s="1"/>
  <c r="G258" i="1" a="1"/>
  <c r="G258" i="1"/>
  <c r="G259" i="1" a="1"/>
  <c r="G259" i="1"/>
  <c r="G260" i="1" a="1"/>
  <c r="G260" i="1" s="1"/>
  <c r="G261" i="1" a="1"/>
  <c r="G261" i="1" s="1"/>
  <c r="G262" i="1" a="1"/>
  <c r="G262" i="1" s="1"/>
  <c r="G263" i="1" a="1"/>
  <c r="G263" i="1"/>
  <c r="G264" i="1" a="1"/>
  <c r="G264" i="1" s="1"/>
  <c r="G265" i="1" a="1"/>
  <c r="G265" i="1" s="1"/>
  <c r="G266" i="1" a="1"/>
  <c r="G266" i="1" s="1"/>
  <c r="G267" i="1" a="1"/>
  <c r="G267" i="1" s="1"/>
  <c r="G268" i="1" a="1"/>
  <c r="G268" i="1"/>
  <c r="G269" i="1" a="1"/>
  <c r="G269" i="1" s="1"/>
  <c r="G270" i="1" a="1"/>
  <c r="G270" i="1" s="1"/>
  <c r="G271" i="1" a="1"/>
  <c r="G271" i="1"/>
  <c r="G272" i="1" a="1"/>
  <c r="G272" i="1" s="1"/>
  <c r="G273" i="1" a="1"/>
  <c r="G273" i="1" s="1"/>
  <c r="G274" i="1" a="1"/>
  <c r="G274" i="1" s="1"/>
  <c r="G275" i="1" a="1"/>
  <c r="G275" i="1" s="1"/>
  <c r="G276" i="1" a="1"/>
  <c r="G276" i="1"/>
  <c r="G277" i="1" a="1"/>
  <c r="G277" i="1" s="1"/>
  <c r="G278" i="1" a="1"/>
  <c r="G278" i="1" s="1"/>
  <c r="G279" i="1" a="1"/>
  <c r="G279" i="1"/>
  <c r="G280" i="1" a="1"/>
  <c r="G280" i="1" s="1"/>
  <c r="G281" i="1" a="1"/>
  <c r="G281" i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/>
  <c r="G290" i="1" a="1"/>
  <c r="G290" i="1" s="1"/>
  <c r="G291" i="1" a="1"/>
  <c r="G291" i="1"/>
  <c r="G292" i="1" a="1"/>
  <c r="G292" i="1"/>
  <c r="G293" i="1" a="1"/>
  <c r="G293" i="1" s="1"/>
  <c r="G294" i="1" a="1"/>
  <c r="G294" i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/>
  <c r="G305" i="1" a="1"/>
  <c r="G305" i="1"/>
  <c r="G306" i="1" a="1"/>
  <c r="G306" i="1" s="1"/>
  <c r="G307" i="1" a="1"/>
  <c r="G307" i="1"/>
  <c r="G308" i="1" a="1"/>
  <c r="G308" i="1" s="1"/>
  <c r="G309" i="1" a="1"/>
  <c r="G309" i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/>
  <c r="G318" i="1" a="1"/>
  <c r="G318" i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 s="1"/>
  <c r="G327" i="1" a="1"/>
  <c r="G327" i="1"/>
  <c r="G328" i="1" a="1"/>
  <c r="G328" i="1" s="1"/>
  <c r="G329" i="1" a="1"/>
  <c r="G329" i="1" s="1"/>
  <c r="G330" i="1" a="1"/>
  <c r="G330" i="1"/>
  <c r="G331" i="1" a="1"/>
  <c r="G331" i="1"/>
  <c r="G332" i="1" a="1"/>
  <c r="G332" i="1" s="1"/>
  <c r="G333" i="1" a="1"/>
  <c r="G333" i="1" s="1"/>
  <c r="G334" i="1" a="1"/>
  <c r="G334" i="1" s="1"/>
  <c r="G335" i="1" a="1"/>
  <c r="G335" i="1"/>
  <c r="G336" i="1" a="1"/>
  <c r="G336" i="1" s="1"/>
  <c r="G337" i="1" a="1"/>
  <c r="G337" i="1" s="1"/>
  <c r="G338" i="1" a="1"/>
  <c r="G338" i="1" s="1"/>
  <c r="G339" i="1" a="1"/>
  <c r="G339" i="1" s="1"/>
  <c r="G340" i="1" a="1"/>
  <c r="G340" i="1"/>
  <c r="G341" i="1" a="1"/>
  <c r="G341" i="1" s="1"/>
  <c r="G342" i="1" a="1"/>
  <c r="G342" i="1" s="1"/>
  <c r="G343" i="1" a="1"/>
  <c r="G343" i="1"/>
  <c r="G344" i="1" a="1"/>
  <c r="G344" i="1" s="1"/>
  <c r="G345" i="1" a="1"/>
  <c r="G345" i="1" s="1"/>
  <c r="G346" i="1" a="1"/>
  <c r="G346" i="1" s="1"/>
  <c r="G347" i="1" a="1"/>
  <c r="G347" i="1" s="1"/>
  <c r="G348" i="1" a="1"/>
  <c r="G348" i="1"/>
  <c r="G349" i="1" a="1"/>
  <c r="G349" i="1" s="1"/>
  <c r="G350" i="1" a="1"/>
  <c r="G350" i="1" s="1"/>
  <c r="G351" i="1" a="1"/>
  <c r="G351" i="1"/>
  <c r="G352" i="1" a="1"/>
  <c r="G352" i="1" s="1"/>
  <c r="G353" i="1" a="1"/>
  <c r="G353" i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/>
  <c r="G362" i="1" a="1"/>
  <c r="G362" i="1" s="1"/>
  <c r="G363" i="1" a="1"/>
  <c r="G363" i="1"/>
  <c r="G364" i="1" a="1"/>
  <c r="G364" i="1"/>
  <c r="G365" i="1" a="1"/>
  <c r="G365" i="1" s="1"/>
  <c r="G366" i="1" a="1"/>
  <c r="G366" i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/>
  <c r="G377" i="1" a="1"/>
  <c r="G377" i="1"/>
  <c r="G378" i="1" a="1"/>
  <c r="G378" i="1" s="1"/>
  <c r="G379" i="1" a="1"/>
  <c r="G379" i="1"/>
  <c r="G380" i="1" a="1"/>
  <c r="G380" i="1" s="1"/>
  <c r="G381" i="1" a="1"/>
  <c r="G381" i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/>
  <c r="G390" i="1" a="1"/>
  <c r="G390" i="1"/>
  <c r="G391" i="1" a="1"/>
  <c r="G391" i="1" s="1"/>
  <c r="G392" i="1" a="1"/>
  <c r="G392" i="1" s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 s="1"/>
  <c r="G399" i="1" a="1"/>
  <c r="G399" i="1"/>
  <c r="G400" i="1" a="1"/>
  <c r="G400" i="1" s="1"/>
  <c r="G401" i="1" a="1"/>
  <c r="G401" i="1" s="1"/>
  <c r="G402" i="1" a="1"/>
  <c r="G402" i="1"/>
  <c r="G403" i="1" a="1"/>
  <c r="G403" i="1"/>
  <c r="G404" i="1" a="1"/>
  <c r="G404" i="1" s="1"/>
  <c r="G405" i="1" a="1"/>
  <c r="G405" i="1"/>
  <c r="G406" i="1" a="1"/>
  <c r="G406" i="1" s="1"/>
  <c r="G407" i="1" a="1"/>
  <c r="G407" i="1"/>
  <c r="G408" i="1" a="1"/>
  <c r="G408" i="1" s="1"/>
  <c r="G409" i="1" a="1"/>
  <c r="G409" i="1" s="1"/>
  <c r="G410" i="1" a="1"/>
  <c r="G410" i="1" s="1"/>
  <c r="G411" i="1" a="1"/>
  <c r="G411" i="1" s="1"/>
  <c r="G412" i="1" a="1"/>
  <c r="G412" i="1"/>
  <c r="G413" i="1" a="1"/>
  <c r="G413" i="1" s="1"/>
  <c r="G414" i="1" a="1"/>
  <c r="G414" i="1" s="1"/>
  <c r="G415" i="1" a="1"/>
  <c r="G415" i="1"/>
  <c r="G416" i="1" a="1"/>
  <c r="G416" i="1" s="1"/>
  <c r="G417" i="1" a="1"/>
  <c r="G417" i="1" s="1"/>
  <c r="G418" i="1" a="1"/>
  <c r="G418" i="1"/>
  <c r="G419" i="1" a="1"/>
  <c r="G419" i="1" s="1"/>
  <c r="G420" i="1" a="1"/>
  <c r="G420" i="1"/>
  <c r="G421" i="1" a="1"/>
  <c r="G421" i="1" s="1"/>
  <c r="G422" i="1" a="1"/>
  <c r="G422" i="1" s="1"/>
  <c r="G423" i="1" a="1"/>
  <c r="G423" i="1"/>
  <c r="G424" i="1" a="1"/>
  <c r="G424" i="1" s="1"/>
  <c r="G425" i="1" a="1"/>
  <c r="G425" i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/>
  <c r="G432" i="1" a="1"/>
  <c r="G432" i="1" s="1"/>
  <c r="G433" i="1" a="1"/>
  <c r="G433" i="1"/>
  <c r="G434" i="1" a="1"/>
  <c r="G434" i="1" s="1"/>
  <c r="G435" i="1" a="1"/>
  <c r="G435" i="1"/>
  <c r="G436" i="1" a="1"/>
  <c r="G436" i="1"/>
  <c r="G437" i="1" a="1"/>
  <c r="G437" i="1" s="1"/>
  <c r="G438" i="1" a="1"/>
  <c r="G438" i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/>
  <c r="G445" i="1" a="1"/>
  <c r="G445" i="1" s="1"/>
  <c r="G446" i="1" a="1"/>
  <c r="G446" i="1" s="1"/>
  <c r="G447" i="1" a="1"/>
  <c r="G447" i="1" s="1"/>
  <c r="G448" i="1" a="1"/>
  <c r="G448" i="1"/>
  <c r="G449" i="1" a="1"/>
  <c r="G449" i="1"/>
  <c r="G450" i="1" a="1"/>
  <c r="G450" i="1" s="1"/>
  <c r="G451" i="1" a="1"/>
  <c r="G451" i="1"/>
  <c r="G452" i="1" a="1"/>
  <c r="G452" i="1" s="1"/>
  <c r="G453" i="1" a="1"/>
  <c r="G453" i="1"/>
  <c r="G454" i="1" a="1"/>
  <c r="G454" i="1" s="1"/>
  <c r="G455" i="1" a="1"/>
  <c r="G455" i="1" s="1"/>
  <c r="G456" i="1" a="1"/>
  <c r="G456" i="1" s="1"/>
  <c r="G457" i="1" a="1"/>
  <c r="G457" i="1"/>
  <c r="G458" i="1" a="1"/>
  <c r="G458" i="1" s="1"/>
  <c r="G459" i="1" a="1"/>
  <c r="G459" i="1" s="1"/>
  <c r="G460" i="1" a="1"/>
  <c r="G460" i="1" s="1"/>
  <c r="G461" i="1" a="1"/>
  <c r="G461" i="1"/>
  <c r="G462" i="1" a="1"/>
  <c r="G462" i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 s="1"/>
  <c r="G470" i="1" a="1"/>
  <c r="G470" i="1" s="1"/>
  <c r="G471" i="1" a="1"/>
  <c r="G471" i="1"/>
  <c r="G472" i="1" a="1"/>
  <c r="G472" i="1" s="1"/>
  <c r="G473" i="1" a="1"/>
  <c r="G473" i="1" s="1"/>
  <c r="G474" i="1" a="1"/>
  <c r="G474" i="1"/>
  <c r="G475" i="1" a="1"/>
  <c r="G475" i="1"/>
  <c r="G476" i="1" a="1"/>
  <c r="G476" i="1" s="1"/>
  <c r="G477" i="1" a="1"/>
  <c r="G477" i="1" s="1"/>
  <c r="G478" i="1" a="1"/>
  <c r="G478" i="1"/>
  <c r="G479" i="1" a="1"/>
  <c r="G479" i="1"/>
  <c r="G480" i="1" a="1"/>
  <c r="G480" i="1" s="1"/>
  <c r="G481" i="1" a="1"/>
  <c r="G481" i="1" s="1"/>
  <c r="G482" i="1" a="1"/>
  <c r="G482" i="1" s="1"/>
  <c r="G483" i="1" a="1"/>
  <c r="G483" i="1" s="1"/>
  <c r="G484" i="1" a="1"/>
  <c r="G484" i="1"/>
  <c r="G485" i="1" a="1"/>
  <c r="G485" i="1" s="1"/>
  <c r="G486" i="1" a="1"/>
  <c r="G486" i="1" s="1"/>
  <c r="G487" i="1" a="1"/>
  <c r="G487" i="1"/>
  <c r="G488" i="1" a="1"/>
  <c r="G488" i="1" s="1"/>
  <c r="G489" i="1" a="1"/>
  <c r="G489" i="1" s="1"/>
  <c r="G490" i="1" a="1"/>
  <c r="G490" i="1" s="1"/>
  <c r="G491" i="1" a="1"/>
  <c r="G491" i="1"/>
  <c r="G492" i="1" a="1"/>
  <c r="G492" i="1"/>
  <c r="G493" i="1" a="1"/>
  <c r="G493" i="1" s="1"/>
  <c r="G494" i="1" a="1"/>
  <c r="G494" i="1" s="1"/>
  <c r="G495" i="1" a="1"/>
  <c r="G495" i="1"/>
  <c r="G496" i="1" a="1"/>
  <c r="G496" i="1" s="1"/>
  <c r="G497" i="1" a="1"/>
  <c r="G497" i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/>
  <c r="G505" i="1" a="1"/>
  <c r="G505" i="1"/>
  <c r="G506" i="1" a="1"/>
  <c r="G506" i="1" s="1"/>
  <c r="G507" i="1" a="1"/>
  <c r="G507" i="1"/>
  <c r="G508" i="1" a="1"/>
  <c r="G508" i="1"/>
  <c r="G509" i="1" a="1"/>
  <c r="G509" i="1" s="1"/>
  <c r="G510" i="1" a="1"/>
  <c r="G510" i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/>
  <c r="G517" i="1" a="1"/>
  <c r="G517" i="1"/>
  <c r="G518" i="1" a="1"/>
  <c r="G518" i="1"/>
  <c r="G519" i="1" a="1"/>
  <c r="G519" i="1" s="1"/>
  <c r="G520" i="1" a="1"/>
  <c r="G520" i="1" s="1"/>
  <c r="G521" i="1" a="1"/>
  <c r="G521" i="1" s="1"/>
  <c r="G522" i="1" a="1"/>
  <c r="G522" i="1" s="1"/>
  <c r="G523" i="1" a="1"/>
  <c r="G523" i="1"/>
  <c r="G524" i="1" a="1"/>
  <c r="G524" i="1"/>
  <c r="G525" i="1" a="1"/>
  <c r="G525" i="1" s="1"/>
  <c r="G526" i="1" a="1"/>
  <c r="G526" i="1" s="1"/>
  <c r="G527" i="1" a="1"/>
  <c r="G527" i="1" s="1"/>
  <c r="G528" i="1" a="1"/>
  <c r="G528" i="1" s="1"/>
  <c r="G529" i="1" a="1"/>
  <c r="G529" i="1"/>
  <c r="G530" i="1" a="1"/>
  <c r="G530" i="1"/>
  <c r="G531" i="1" a="1"/>
  <c r="G531" i="1" s="1"/>
  <c r="G532" i="1" a="1"/>
  <c r="G532" i="1" s="1"/>
  <c r="G533" i="1" a="1"/>
  <c r="G533" i="1" s="1"/>
  <c r="G534" i="1" a="1"/>
  <c r="G534" i="1" s="1"/>
  <c r="G535" i="1" a="1"/>
  <c r="G535" i="1"/>
  <c r="G536" i="1" a="1"/>
  <c r="G536" i="1"/>
  <c r="G537" i="1" a="1"/>
  <c r="G537" i="1" s="1"/>
  <c r="G538" i="1" a="1"/>
  <c r="G538" i="1" s="1"/>
  <c r="G539" i="1" a="1"/>
  <c r="G539" i="1" s="1"/>
  <c r="G540" i="1" a="1"/>
  <c r="G540" i="1" s="1"/>
  <c r="G541" i="1" a="1"/>
  <c r="G541" i="1"/>
  <c r="G542" i="1" a="1"/>
  <c r="G542" i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/>
  <c r="G651" i="1" a="1"/>
  <c r="G651" i="1" s="1"/>
  <c r="G3" i="1" a="1"/>
  <c r="G3" i="1" s="1"/>
  <c r="H443" i="1"/>
  <c r="I443" i="1"/>
  <c r="J443" i="1" s="1"/>
  <c r="H444" i="1"/>
  <c r="J444" i="1" s="1"/>
  <c r="I444" i="1"/>
  <c r="H445" i="1"/>
  <c r="J445" i="1" s="1"/>
  <c r="I445" i="1"/>
  <c r="H446" i="1"/>
  <c r="I446" i="1"/>
  <c r="J446" i="1" s="1"/>
  <c r="H447" i="1"/>
  <c r="J447" i="1" s="1"/>
  <c r="I447" i="1"/>
  <c r="H448" i="1"/>
  <c r="J448" i="1" s="1"/>
  <c r="I448" i="1"/>
  <c r="H449" i="1"/>
  <c r="I449" i="1"/>
  <c r="J449" i="1" s="1"/>
  <c r="H450" i="1"/>
  <c r="J450" i="1" s="1"/>
  <c r="I450" i="1"/>
  <c r="H451" i="1"/>
  <c r="J451" i="1" s="1"/>
  <c r="I451" i="1"/>
  <c r="H452" i="1"/>
  <c r="I452" i="1"/>
  <c r="J452" i="1" s="1"/>
  <c r="H453" i="1"/>
  <c r="I453" i="1"/>
  <c r="J453" i="1"/>
  <c r="H454" i="1"/>
  <c r="J454" i="1" s="1"/>
  <c r="I454" i="1"/>
  <c r="H455" i="1"/>
  <c r="I455" i="1"/>
  <c r="J455" i="1" s="1"/>
  <c r="H456" i="1"/>
  <c r="I456" i="1"/>
  <c r="J456" i="1"/>
  <c r="H457" i="1"/>
  <c r="I457" i="1"/>
  <c r="J457" i="1"/>
  <c r="H458" i="1"/>
  <c r="I458" i="1"/>
  <c r="J458" i="1" s="1"/>
  <c r="H459" i="1"/>
  <c r="J459" i="1" s="1"/>
  <c r="I459" i="1"/>
  <c r="H460" i="1"/>
  <c r="J460" i="1" s="1"/>
  <c r="I460" i="1"/>
  <c r="H3" i="1"/>
  <c r="I3" i="1"/>
  <c r="H4" i="1"/>
  <c r="I4" i="1"/>
  <c r="H5" i="1"/>
  <c r="I5" i="1"/>
  <c r="H6" i="1"/>
  <c r="I6" i="1"/>
  <c r="H7" i="1"/>
  <c r="I7" i="1"/>
  <c r="H8" i="1"/>
  <c r="I8" i="1"/>
  <c r="I185" i="1"/>
  <c r="I162" i="1"/>
  <c r="I161" i="1"/>
  <c r="I137" i="1"/>
  <c r="I243" i="1"/>
  <c r="I418" i="1"/>
  <c r="I367" i="1"/>
  <c r="I195" i="1"/>
  <c r="I142" i="1"/>
  <c r="I55" i="1"/>
  <c r="I117" i="1"/>
  <c r="I331" i="1"/>
  <c r="I177" i="1"/>
  <c r="I223" i="1"/>
  <c r="I387" i="1"/>
  <c r="I222" i="1"/>
  <c r="I314" i="1"/>
  <c r="I368" i="1"/>
  <c r="I271" i="1"/>
  <c r="I374" i="1"/>
  <c r="I191" i="1"/>
  <c r="I50" i="1"/>
  <c r="I128" i="1"/>
  <c r="I384" i="1"/>
  <c r="I127" i="1"/>
  <c r="I317" i="1"/>
  <c r="I226" i="1"/>
  <c r="I187" i="1"/>
  <c r="I51" i="1"/>
  <c r="I220" i="1"/>
  <c r="I344" i="1"/>
  <c r="I182" i="1"/>
  <c r="I215" i="1"/>
  <c r="I47" i="1"/>
  <c r="I181" i="1"/>
  <c r="I376" i="1"/>
  <c r="I70" i="1"/>
  <c r="I146" i="1"/>
  <c r="I154" i="1"/>
  <c r="I375" i="1"/>
  <c r="I537" i="1"/>
  <c r="I305" i="1"/>
  <c r="I472" i="1"/>
  <c r="I263" i="1"/>
  <c r="I495" i="1"/>
  <c r="I242" i="1"/>
  <c r="I597" i="1"/>
  <c r="I406" i="1"/>
  <c r="I118" i="1"/>
  <c r="I244" i="1"/>
  <c r="I350" i="1"/>
  <c r="I277" i="1"/>
  <c r="I398" i="1"/>
  <c r="I413" i="1"/>
  <c r="I123" i="1"/>
  <c r="I341" i="1"/>
  <c r="I288" i="1"/>
  <c r="I442" i="1"/>
  <c r="I338" i="1"/>
  <c r="I353" i="1"/>
  <c r="I419" i="1"/>
  <c r="I101" i="1"/>
  <c r="I173" i="1"/>
  <c r="I345" i="1"/>
  <c r="I469" i="1"/>
  <c r="I461" i="1"/>
  <c r="I325" i="1"/>
  <c r="I45" i="1"/>
  <c r="I501" i="1"/>
  <c r="I59" i="1"/>
  <c r="I492" i="1"/>
  <c r="I240" i="1"/>
  <c r="I265" i="1"/>
  <c r="I176" i="1"/>
  <c r="I216" i="1"/>
  <c r="I432" i="1"/>
  <c r="I468" i="1"/>
  <c r="I183" i="1"/>
  <c r="I143" i="1"/>
  <c r="I62" i="1"/>
  <c r="I102" i="1"/>
  <c r="I571" i="1"/>
  <c r="I322" i="1"/>
  <c r="J322" i="1" s="1"/>
  <c r="I247" i="1"/>
  <c r="I190" i="1"/>
  <c r="I297" i="1"/>
  <c r="I564" i="1"/>
  <c r="I358" i="1"/>
  <c r="I627" i="1"/>
  <c r="I511" i="1"/>
  <c r="I218" i="1"/>
  <c r="I362" i="1"/>
  <c r="I307" i="1"/>
  <c r="I525" i="1"/>
  <c r="I351" i="1"/>
  <c r="I554" i="1"/>
  <c r="I197" i="1"/>
  <c r="I206" i="1"/>
  <c r="I246" i="1"/>
  <c r="I82" i="1"/>
  <c r="I169" i="1"/>
  <c r="I89" i="1"/>
  <c r="I208" i="1"/>
  <c r="I577" i="1"/>
  <c r="I535" i="1"/>
  <c r="I214" i="1"/>
  <c r="I385" i="1"/>
  <c r="I278" i="1"/>
  <c r="I280" i="1"/>
  <c r="I79" i="1"/>
  <c r="I498" i="1"/>
  <c r="I371" i="1"/>
  <c r="I600" i="1"/>
  <c r="I259" i="1"/>
  <c r="I236" i="1"/>
  <c r="I73" i="1"/>
  <c r="I357" i="1"/>
  <c r="I602" i="1"/>
  <c r="I643" i="1"/>
  <c r="I108" i="1"/>
  <c r="I320" i="1"/>
  <c r="I27" i="1"/>
  <c r="I567" i="1"/>
  <c r="I349" i="1"/>
  <c r="I323" i="1"/>
  <c r="I508" i="1"/>
  <c r="I319" i="1"/>
  <c r="I219" i="1"/>
  <c r="I426" i="1"/>
  <c r="I366" i="1"/>
  <c r="I402" i="1"/>
  <c r="I147" i="1"/>
  <c r="I395" i="1"/>
  <c r="I381" i="1"/>
  <c r="I433" i="1"/>
  <c r="I133" i="1"/>
  <c r="I507" i="1"/>
  <c r="I438" i="1"/>
  <c r="I568" i="1"/>
  <c r="I532" i="1"/>
  <c r="J532" i="1" s="1"/>
  <c r="I502" i="1"/>
  <c r="I422" i="1"/>
  <c r="I364" i="1"/>
  <c r="I32" i="1"/>
  <c r="I474" i="1"/>
  <c r="I533" i="1"/>
  <c r="I44" i="1"/>
  <c r="I83" i="1"/>
  <c r="I170" i="1"/>
  <c r="I115" i="1"/>
  <c r="I391" i="1"/>
  <c r="I569" i="1"/>
  <c r="I179" i="1"/>
  <c r="I566" i="1"/>
  <c r="I429" i="1"/>
  <c r="I98" i="1"/>
  <c r="I549" i="1"/>
  <c r="I570" i="1"/>
  <c r="I126" i="1"/>
  <c r="I427" i="1"/>
  <c r="I503" i="1"/>
  <c r="I282" i="1"/>
  <c r="I200" i="1"/>
  <c r="I505" i="1"/>
  <c r="I531" i="1"/>
  <c r="I93" i="1"/>
  <c r="I648" i="1"/>
  <c r="I550" i="1"/>
  <c r="I225" i="1"/>
  <c r="I95" i="1"/>
  <c r="I481" i="1"/>
  <c r="I520" i="1"/>
  <c r="I124" i="1"/>
  <c r="I287" i="1"/>
  <c r="I521" i="1"/>
  <c r="I21" i="1"/>
  <c r="I22" i="1"/>
  <c r="I290" i="1"/>
  <c r="I303" i="1"/>
  <c r="I369" i="1"/>
  <c r="I414" i="1"/>
  <c r="I227" i="1"/>
  <c r="I578" i="1"/>
  <c r="I107" i="1"/>
  <c r="I232" i="1"/>
  <c r="I379" i="1"/>
  <c r="I470" i="1"/>
  <c r="I551" i="1"/>
  <c r="I604" i="1"/>
  <c r="I382" i="1"/>
  <c r="I605" i="1"/>
  <c r="I180" i="1"/>
  <c r="I352" i="1"/>
  <c r="I606" i="1"/>
  <c r="I337" i="1"/>
  <c r="I178" i="1"/>
  <c r="I119" i="1"/>
  <c r="I436" i="1"/>
  <c r="I380" i="1"/>
  <c r="I608" i="1"/>
  <c r="I528" i="1"/>
  <c r="I509" i="1"/>
  <c r="I573" i="1"/>
  <c r="I609" i="1"/>
  <c r="I574" i="1"/>
  <c r="I54" i="1"/>
  <c r="I286" i="1"/>
  <c r="I610" i="1"/>
  <c r="I166" i="1"/>
  <c r="I378" i="1"/>
  <c r="I253" i="1"/>
  <c r="I552" i="1"/>
  <c r="I48" i="1"/>
  <c r="I482" i="1"/>
  <c r="I189" i="1"/>
  <c r="I213" i="1"/>
  <c r="I46" i="1"/>
  <c r="I576" i="1"/>
  <c r="I612" i="1"/>
  <c r="I135" i="1"/>
  <c r="I434" i="1"/>
  <c r="I631" i="1"/>
  <c r="I285" i="1"/>
  <c r="I431" i="1"/>
  <c r="I94" i="1"/>
  <c r="I634" i="1"/>
  <c r="I289" i="1"/>
  <c r="I393" i="1"/>
  <c r="I483" i="1"/>
  <c r="I310" i="1"/>
  <c r="I523" i="1"/>
  <c r="I158" i="1"/>
  <c r="I239" i="1"/>
  <c r="I300" i="1"/>
  <c r="I479" i="1"/>
  <c r="I316" i="1"/>
  <c r="I249" i="1"/>
  <c r="I553" i="1"/>
  <c r="I513" i="1"/>
  <c r="I644" i="1"/>
  <c r="I489" i="1"/>
  <c r="I217" i="1"/>
  <c r="I140" i="1"/>
  <c r="I493" i="1"/>
  <c r="I372" i="1"/>
  <c r="I199" i="1"/>
  <c r="I313" i="1"/>
  <c r="I542" i="1"/>
  <c r="I260" i="1"/>
  <c r="I473" i="1"/>
  <c r="I301" i="1"/>
  <c r="I361" i="1"/>
  <c r="I409" i="1"/>
  <c r="I618" i="1"/>
  <c r="I315" i="1"/>
  <c r="I159" i="1"/>
  <c r="J159" i="1" s="1"/>
  <c r="I254" i="1"/>
  <c r="I272" i="1"/>
  <c r="I555" i="1"/>
  <c r="I547" i="1"/>
  <c r="I510" i="1"/>
  <c r="I619" i="1"/>
  <c r="I340" i="1"/>
  <c r="I496" i="1"/>
  <c r="I64" i="1"/>
  <c r="I291" i="1"/>
  <c r="I386" i="1"/>
  <c r="I365" i="1"/>
  <c r="I628" i="1"/>
  <c r="I541" i="1"/>
  <c r="I560" i="1"/>
  <c r="I579" i="1"/>
  <c r="I465" i="1"/>
  <c r="I594" i="1"/>
  <c r="I294" i="1"/>
  <c r="I35" i="1"/>
  <c r="I500" i="1"/>
  <c r="I354" i="1"/>
  <c r="I266" i="1"/>
  <c r="I268" i="1"/>
  <c r="I60" i="1"/>
  <c r="I515" i="1"/>
  <c r="I539" i="1"/>
  <c r="I575" i="1"/>
  <c r="I71" i="1"/>
  <c r="I252" i="1"/>
  <c r="I424" i="1"/>
  <c r="I636" i="1"/>
  <c r="I580" i="1"/>
  <c r="I466" i="1"/>
  <c r="I65" i="1"/>
  <c r="I530" i="1"/>
  <c r="I586" i="1"/>
  <c r="I582" i="1"/>
  <c r="I581" i="1"/>
  <c r="I524" i="1"/>
  <c r="I497" i="1"/>
  <c r="J497" i="1" s="1"/>
  <c r="I622" i="1"/>
  <c r="I292" i="1"/>
  <c r="I623" i="1"/>
  <c r="I132" i="1"/>
  <c r="I77" i="1"/>
  <c r="I312" i="1"/>
  <c r="I92" i="1"/>
  <c r="I624" i="1"/>
  <c r="I302" i="1"/>
  <c r="I405" i="1"/>
  <c r="I262" i="1"/>
  <c r="I383" i="1"/>
  <c r="I273" i="1"/>
  <c r="I10" i="1"/>
  <c r="I15" i="1"/>
  <c r="I595" i="1"/>
  <c r="I100" i="1"/>
  <c r="J100" i="1" s="1"/>
  <c r="I148" i="1"/>
  <c r="J148" i="1" s="1"/>
  <c r="I270" i="1"/>
  <c r="I392" i="1"/>
  <c r="J392" i="1" s="1"/>
  <c r="I394" i="1"/>
  <c r="J394" i="1" s="1"/>
  <c r="I464" i="1"/>
  <c r="J464" i="1" s="1"/>
  <c r="I487" i="1"/>
  <c r="J487" i="1" s="1"/>
  <c r="I588" i="1"/>
  <c r="J588" i="1" s="1"/>
  <c r="I425" i="1"/>
  <c r="J425" i="1" s="1"/>
  <c r="I68" i="1"/>
  <c r="I587" i="1"/>
  <c r="J587" i="1" s="1"/>
  <c r="I201" i="1"/>
  <c r="I174" i="1"/>
  <c r="I415" i="1"/>
  <c r="I40" i="1"/>
  <c r="I494" i="1"/>
  <c r="I194" i="1"/>
  <c r="I175" i="1"/>
  <c r="I186" i="1"/>
  <c r="I390" i="1"/>
  <c r="I336" i="1"/>
  <c r="I603" i="1"/>
  <c r="I598" i="1"/>
  <c r="I403" i="1"/>
  <c r="I234" i="1"/>
  <c r="I557" i="1"/>
  <c r="I11" i="1"/>
  <c r="I601" i="1"/>
  <c r="I90" i="1"/>
  <c r="I526" i="1"/>
  <c r="I421" i="1"/>
  <c r="I585" i="1"/>
  <c r="I625" i="1"/>
  <c r="I404" i="1"/>
  <c r="I615" i="1"/>
  <c r="I558" i="1"/>
  <c r="I152" i="1"/>
  <c r="I621" i="1"/>
  <c r="I373" i="1"/>
  <c r="I400" i="1"/>
  <c r="I630" i="1"/>
  <c r="I155" i="1"/>
  <c r="I321" i="1"/>
  <c r="I184" i="1"/>
  <c r="I284" i="1"/>
  <c r="I69" i="1"/>
  <c r="I264" i="1"/>
  <c r="I527" i="1"/>
  <c r="I410" i="1"/>
  <c r="I626" i="1"/>
  <c r="I58" i="1"/>
  <c r="I9" i="1"/>
  <c r="I12" i="1"/>
  <c r="I13" i="1"/>
  <c r="I16" i="1"/>
  <c r="I17" i="1"/>
  <c r="I19" i="1"/>
  <c r="I20" i="1"/>
  <c r="I23" i="1"/>
  <c r="I24" i="1"/>
  <c r="I25" i="1"/>
  <c r="I637" i="1"/>
  <c r="I28" i="1"/>
  <c r="I30" i="1"/>
  <c r="I31" i="1"/>
  <c r="I33" i="1"/>
  <c r="I36" i="1"/>
  <c r="I37" i="1"/>
  <c r="J37" i="1" s="1"/>
  <c r="I38" i="1"/>
  <c r="I39" i="1"/>
  <c r="I41" i="1"/>
  <c r="I42" i="1"/>
  <c r="I43" i="1"/>
  <c r="I49" i="1"/>
  <c r="I52" i="1"/>
  <c r="I129" i="1"/>
  <c r="I306" i="1"/>
  <c r="I56" i="1"/>
  <c r="I61" i="1"/>
  <c r="J61" i="1" s="1"/>
  <c r="I63" i="1"/>
  <c r="I66" i="1"/>
  <c r="I328" i="1"/>
  <c r="I72" i="1"/>
  <c r="I74" i="1"/>
  <c r="J74" i="1" s="1"/>
  <c r="I408" i="1"/>
  <c r="I76" i="1"/>
  <c r="I78" i="1"/>
  <c r="I80" i="1"/>
  <c r="I84" i="1"/>
  <c r="I85" i="1"/>
  <c r="J85" i="1" s="1"/>
  <c r="I86" i="1"/>
  <c r="I87" i="1"/>
  <c r="J87" i="1" s="1"/>
  <c r="I88" i="1"/>
  <c r="I360" i="1"/>
  <c r="J360" i="1" s="1"/>
  <c r="I96" i="1"/>
  <c r="J96" i="1" s="1"/>
  <c r="I97" i="1"/>
  <c r="J97" i="1" s="1"/>
  <c r="I104" i="1"/>
  <c r="J104" i="1" s="1"/>
  <c r="I105" i="1"/>
  <c r="J105" i="1" s="1"/>
  <c r="I106" i="1"/>
  <c r="J106" i="1" s="1"/>
  <c r="I109" i="1"/>
  <c r="I463" i="1"/>
  <c r="I111" i="1"/>
  <c r="I112" i="1"/>
  <c r="J112" i="1" s="1"/>
  <c r="I113" i="1"/>
  <c r="I116" i="1"/>
  <c r="I120" i="1"/>
  <c r="I121" i="1"/>
  <c r="J121" i="1" s="1"/>
  <c r="I122" i="1"/>
  <c r="I130" i="1"/>
  <c r="I131" i="1"/>
  <c r="I134" i="1"/>
  <c r="I136" i="1"/>
  <c r="I138" i="1"/>
  <c r="I81" i="1"/>
  <c r="I145" i="1"/>
  <c r="I149" i="1"/>
  <c r="J149" i="1" s="1"/>
  <c r="I150" i="1"/>
  <c r="J150" i="1" s="1"/>
  <c r="I151" i="1"/>
  <c r="J151" i="1" s="1"/>
  <c r="I153" i="1"/>
  <c r="I156" i="1"/>
  <c r="I157" i="1"/>
  <c r="I160" i="1"/>
  <c r="J160" i="1" s="1"/>
  <c r="I163" i="1"/>
  <c r="I164" i="1"/>
  <c r="I165" i="1"/>
  <c r="I167" i="1"/>
  <c r="J167" i="1" s="1"/>
  <c r="I168" i="1"/>
  <c r="J168" i="1" s="1"/>
  <c r="I188" i="1"/>
  <c r="I192" i="1"/>
  <c r="J192" i="1" s="1"/>
  <c r="I193" i="1"/>
  <c r="J193" i="1" s="1"/>
  <c r="I196" i="1"/>
  <c r="J196" i="1" s="1"/>
  <c r="I198" i="1"/>
  <c r="J198" i="1" s="1"/>
  <c r="I202" i="1"/>
  <c r="J202" i="1" s="1"/>
  <c r="I203" i="1"/>
  <c r="J203" i="1" s="1"/>
  <c r="I204" i="1"/>
  <c r="J204" i="1" s="1"/>
  <c r="I205" i="1"/>
  <c r="J205" i="1" s="1"/>
  <c r="I207" i="1"/>
  <c r="J207" i="1" s="1"/>
  <c r="I209" i="1"/>
  <c r="J209" i="1" s="1"/>
  <c r="I210" i="1"/>
  <c r="J210" i="1" s="1"/>
  <c r="I211" i="1"/>
  <c r="J211" i="1" s="1"/>
  <c r="I212" i="1"/>
  <c r="J212" i="1" s="1"/>
  <c r="I221" i="1"/>
  <c r="J221" i="1" s="1"/>
  <c r="I224" i="1"/>
  <c r="J224" i="1" s="1"/>
  <c r="I228" i="1"/>
  <c r="J228" i="1" s="1"/>
  <c r="I229" i="1"/>
  <c r="J229" i="1" s="1"/>
  <c r="I230" i="1"/>
  <c r="J230" i="1" s="1"/>
  <c r="I231" i="1"/>
  <c r="J231" i="1" s="1"/>
  <c r="I233" i="1"/>
  <c r="J233" i="1" s="1"/>
  <c r="I235" i="1"/>
  <c r="I237" i="1"/>
  <c r="J237" i="1" s="1"/>
  <c r="I238" i="1"/>
  <c r="J238" i="1" s="1"/>
  <c r="I241" i="1"/>
  <c r="J241" i="1" s="1"/>
  <c r="I245" i="1"/>
  <c r="J245" i="1" s="1"/>
  <c r="I248" i="1"/>
  <c r="J248" i="1" s="1"/>
  <c r="I251" i="1"/>
  <c r="J251" i="1" s="1"/>
  <c r="I255" i="1"/>
  <c r="I256" i="1"/>
  <c r="I257" i="1"/>
  <c r="I258" i="1"/>
  <c r="J258" i="1" s="1"/>
  <c r="I589" i="1"/>
  <c r="J589" i="1" s="1"/>
  <c r="I267" i="1"/>
  <c r="J267" i="1" s="1"/>
  <c r="I269" i="1"/>
  <c r="J269" i="1" s="1"/>
  <c r="I110" i="1"/>
  <c r="I274" i="1"/>
  <c r="J274" i="1" s="1"/>
  <c r="I275" i="1"/>
  <c r="J275" i="1" s="1"/>
  <c r="I276" i="1"/>
  <c r="I125" i="1"/>
  <c r="J125" i="1" s="1"/>
  <c r="I293" i="1"/>
  <c r="J293" i="1" s="1"/>
  <c r="I295" i="1"/>
  <c r="J295" i="1" s="1"/>
  <c r="I296" i="1"/>
  <c r="I298" i="1"/>
  <c r="J298" i="1" s="1"/>
  <c r="I299" i="1"/>
  <c r="J299" i="1" s="1"/>
  <c r="I304" i="1"/>
  <c r="J304" i="1" s="1"/>
  <c r="I308" i="1"/>
  <c r="J308" i="1" s="1"/>
  <c r="I309" i="1"/>
  <c r="J309" i="1" s="1"/>
  <c r="I311" i="1"/>
  <c r="J311" i="1" s="1"/>
  <c r="I318" i="1"/>
  <c r="J318" i="1" s="1"/>
  <c r="I324" i="1"/>
  <c r="J324" i="1" s="1"/>
  <c r="I326" i="1"/>
  <c r="J326" i="1" s="1"/>
  <c r="I327" i="1"/>
  <c r="J327" i="1" s="1"/>
  <c r="I329" i="1"/>
  <c r="J329" i="1" s="1"/>
  <c r="I330" i="1"/>
  <c r="J330" i="1" s="1"/>
  <c r="I332" i="1"/>
  <c r="J332" i="1" s="1"/>
  <c r="I333" i="1"/>
  <c r="J333" i="1" s="1"/>
  <c r="I334" i="1"/>
  <c r="J334" i="1" s="1"/>
  <c r="I339" i="1"/>
  <c r="J339" i="1" s="1"/>
  <c r="I342" i="1"/>
  <c r="J342" i="1" s="1"/>
  <c r="I343" i="1"/>
  <c r="J343" i="1" s="1"/>
  <c r="I346" i="1"/>
  <c r="J346" i="1" s="1"/>
  <c r="I348" i="1"/>
  <c r="J348" i="1" s="1"/>
  <c r="I347" i="1"/>
  <c r="J347" i="1" s="1"/>
  <c r="I355" i="1"/>
  <c r="I356" i="1"/>
  <c r="I363" i="1"/>
  <c r="I370" i="1"/>
  <c r="J370" i="1" s="1"/>
  <c r="I377" i="1"/>
  <c r="I99" i="1"/>
  <c r="J99" i="1" s="1"/>
  <c r="I388" i="1"/>
  <c r="I389" i="1"/>
  <c r="J389" i="1" s="1"/>
  <c r="I396" i="1"/>
  <c r="J396" i="1" s="1"/>
  <c r="I397" i="1"/>
  <c r="J397" i="1" s="1"/>
  <c r="I399" i="1"/>
  <c r="J399" i="1" s="1"/>
  <c r="I407" i="1"/>
  <c r="J407" i="1" s="1"/>
  <c r="I616" i="1"/>
  <c r="J616" i="1" s="1"/>
  <c r="I411" i="1"/>
  <c r="J411" i="1" s="1"/>
  <c r="I412" i="1"/>
  <c r="I416" i="1"/>
  <c r="J416" i="1" s="1"/>
  <c r="I607" i="1"/>
  <c r="J607" i="1" s="1"/>
  <c r="I420" i="1"/>
  <c r="J420" i="1" s="1"/>
  <c r="I423" i="1"/>
  <c r="J423" i="1" s="1"/>
  <c r="I428" i="1"/>
  <c r="J428" i="1" s="1"/>
  <c r="I430" i="1"/>
  <c r="J430" i="1" s="1"/>
  <c r="I435" i="1"/>
  <c r="J435" i="1" s="1"/>
  <c r="I559" i="1"/>
  <c r="J559" i="1" s="1"/>
  <c r="I437" i="1"/>
  <c r="J437" i="1" s="1"/>
  <c r="I75" i="1"/>
  <c r="J75" i="1" s="1"/>
  <c r="I439" i="1"/>
  <c r="J439" i="1" s="1"/>
  <c r="I440" i="1"/>
  <c r="J440" i="1" s="1"/>
  <c r="I462" i="1"/>
  <c r="J462" i="1" s="1"/>
  <c r="I57" i="1"/>
  <c r="J57" i="1" s="1"/>
  <c r="I467" i="1"/>
  <c r="J467" i="1" s="1"/>
  <c r="I471" i="1"/>
  <c r="J471" i="1" s="1"/>
  <c r="I475" i="1"/>
  <c r="J475" i="1" s="1"/>
  <c r="I478" i="1"/>
  <c r="J478" i="1" s="1"/>
  <c r="I477" i="1"/>
  <c r="J477" i="1" s="1"/>
  <c r="I480" i="1"/>
  <c r="J480" i="1" s="1"/>
  <c r="I484" i="1"/>
  <c r="J484" i="1" s="1"/>
  <c r="I488" i="1"/>
  <c r="J488" i="1" s="1"/>
  <c r="I486" i="1"/>
  <c r="J486" i="1" s="1"/>
  <c r="I490" i="1"/>
  <c r="J490" i="1" s="1"/>
  <c r="I491" i="1"/>
  <c r="J491" i="1" s="1"/>
  <c r="I499" i="1"/>
  <c r="J499" i="1" s="1"/>
  <c r="I504" i="1"/>
  <c r="J504" i="1" s="1"/>
  <c r="I506" i="1"/>
  <c r="J506" i="1" s="1"/>
  <c r="I512" i="1"/>
  <c r="I517" i="1"/>
  <c r="J517" i="1" s="1"/>
  <c r="I114" i="1"/>
  <c r="J114" i="1" s="1"/>
  <c r="I518" i="1"/>
  <c r="J518" i="1" s="1"/>
  <c r="I519" i="1"/>
  <c r="J519" i="1" s="1"/>
  <c r="I522" i="1"/>
  <c r="J522" i="1" s="1"/>
  <c r="I529" i="1"/>
  <c r="J529" i="1" s="1"/>
  <c r="I534" i="1"/>
  <c r="J534" i="1" s="1"/>
  <c r="I536" i="1"/>
  <c r="J536" i="1" s="1"/>
  <c r="I544" i="1"/>
  <c r="I34" i="1"/>
  <c r="J34" i="1" s="1"/>
  <c r="I543" i="1"/>
  <c r="J543" i="1" s="1"/>
  <c r="I546" i="1"/>
  <c r="J546" i="1" s="1"/>
  <c r="I563" i="1"/>
  <c r="J563" i="1" s="1"/>
  <c r="I53" i="1"/>
  <c r="J53" i="1" s="1"/>
  <c r="I562" i="1"/>
  <c r="J562" i="1" s="1"/>
  <c r="I548" i="1"/>
  <c r="J548" i="1" s="1"/>
  <c r="I139" i="1"/>
  <c r="J139" i="1" s="1"/>
  <c r="I583" i="1"/>
  <c r="J583" i="1" s="1"/>
  <c r="I26" i="1"/>
  <c r="J26" i="1" s="1"/>
  <c r="I584" i="1"/>
  <c r="J584" i="1" s="1"/>
  <c r="I572" i="1"/>
  <c r="J572" i="1" s="1"/>
  <c r="I592" i="1"/>
  <c r="J592" i="1" s="1"/>
  <c r="I590" i="1"/>
  <c r="J590" i="1" s="1"/>
  <c r="I565" i="1"/>
  <c r="I591" i="1"/>
  <c r="J591" i="1" s="1"/>
  <c r="I611" i="1"/>
  <c r="J611" i="1" s="1"/>
  <c r="I91" i="1"/>
  <c r="J91" i="1" s="1"/>
  <c r="I596" i="1"/>
  <c r="I103" i="1"/>
  <c r="J103" i="1" s="1"/>
  <c r="I599" i="1"/>
  <c r="J599" i="1" s="1"/>
  <c r="I640" i="1"/>
  <c r="J640" i="1" s="1"/>
  <c r="I629" i="1"/>
  <c r="J629" i="1" s="1"/>
  <c r="I632" i="1"/>
  <c r="J632" i="1" s="1"/>
  <c r="I633" i="1"/>
  <c r="J633" i="1" s="1"/>
  <c r="I29" i="1"/>
  <c r="J29" i="1" s="1"/>
  <c r="I635" i="1"/>
  <c r="J635" i="1" s="1"/>
  <c r="I545" i="1"/>
  <c r="J545" i="1" s="1"/>
  <c r="I641" i="1"/>
  <c r="J641" i="1" s="1"/>
  <c r="I617" i="1"/>
  <c r="J617" i="1" s="1"/>
  <c r="I441" i="1"/>
  <c r="J441" i="1" s="1"/>
  <c r="I613" i="1"/>
  <c r="J613" i="1" s="1"/>
  <c r="I638" i="1"/>
  <c r="J638" i="1" s="1"/>
  <c r="I639" i="1"/>
  <c r="J639" i="1" s="1"/>
  <c r="I614" i="1"/>
  <c r="J614" i="1" s="1"/>
  <c r="I642" i="1"/>
  <c r="J642" i="1" s="1"/>
  <c r="I651" i="1"/>
  <c r="J651" i="1" s="1"/>
  <c r="I645" i="1"/>
  <c r="J645" i="1" s="1"/>
  <c r="I647" i="1"/>
  <c r="I620" i="1"/>
  <c r="J620" i="1" s="1"/>
  <c r="I649" i="1"/>
  <c r="J649" i="1" s="1"/>
  <c r="I650" i="1"/>
  <c r="J650" i="1" s="1"/>
  <c r="I646" i="1"/>
  <c r="J646" i="1" s="1"/>
  <c r="I14" i="1"/>
  <c r="H77" i="1"/>
  <c r="H293" i="1"/>
  <c r="H79" i="1"/>
  <c r="H54" i="1"/>
  <c r="H432" i="1"/>
  <c r="H256" i="1"/>
  <c r="H216" i="1"/>
  <c r="H498" i="1"/>
  <c r="H358" i="1"/>
  <c r="H64" i="1"/>
  <c r="H57" i="1"/>
  <c r="H176" i="1"/>
  <c r="H371" i="1"/>
  <c r="H501" i="1"/>
  <c r="H600" i="1"/>
  <c r="H564" i="1"/>
  <c r="H490" i="1"/>
  <c r="H388" i="1"/>
  <c r="H39" i="1"/>
  <c r="H505" i="1"/>
  <c r="H81" i="1"/>
  <c r="H59" i="1"/>
  <c r="H38" i="1"/>
  <c r="H436" i="1"/>
  <c r="H160" i="1"/>
  <c r="H67" i="1"/>
  <c r="H96" i="1"/>
  <c r="H236" i="1"/>
  <c r="H86" i="1"/>
  <c r="H539" i="1"/>
  <c r="H487" i="1"/>
  <c r="H612" i="1"/>
  <c r="H492" i="1"/>
  <c r="H73" i="1"/>
  <c r="H357" i="1"/>
  <c r="H602" i="1"/>
  <c r="H75" i="1"/>
  <c r="H210" i="1"/>
  <c r="H596" i="1"/>
  <c r="H240" i="1"/>
  <c r="H76" i="1"/>
  <c r="H25" i="1"/>
  <c r="H265" i="1"/>
  <c r="H108" i="1"/>
  <c r="H80" i="1"/>
  <c r="H488" i="1"/>
  <c r="H335" i="1"/>
  <c r="H469" i="1"/>
  <c r="H567" i="1"/>
  <c r="H349" i="1"/>
  <c r="H41" i="1"/>
  <c r="H323" i="1"/>
  <c r="H219" i="1"/>
  <c r="H416" i="1"/>
  <c r="H637" i="1"/>
  <c r="H426" i="1"/>
  <c r="H325" i="1"/>
  <c r="H45" i="1"/>
  <c r="H461" i="1"/>
  <c r="H366" i="1"/>
  <c r="H402" i="1"/>
  <c r="H147" i="1"/>
  <c r="H607" i="1"/>
  <c r="H381" i="1"/>
  <c r="H433" i="1"/>
  <c r="H209" i="1"/>
  <c r="H133" i="1"/>
  <c r="H139" i="1"/>
  <c r="H568" i="1"/>
  <c r="H260" i="1"/>
  <c r="H502" i="1"/>
  <c r="H87" i="1"/>
  <c r="H424" i="1"/>
  <c r="H422" i="1"/>
  <c r="H326" i="1"/>
  <c r="H364" i="1"/>
  <c r="H353" i="1"/>
  <c r="H162" i="1"/>
  <c r="H21" i="1"/>
  <c r="H273" i="1"/>
  <c r="H583" i="1"/>
  <c r="H419" i="1"/>
  <c r="H493" i="1"/>
  <c r="H474" i="1"/>
  <c r="H121" i="1"/>
  <c r="H363" i="1"/>
  <c r="H317" i="1"/>
  <c r="H533" i="1"/>
  <c r="H101" i="1"/>
  <c r="H115" i="1"/>
  <c r="H173" i="1"/>
  <c r="H258" i="1"/>
  <c r="H391" i="1"/>
  <c r="H569" i="1"/>
  <c r="H345" i="1"/>
  <c r="H259" i="1"/>
  <c r="H277" i="1"/>
  <c r="H179" i="1"/>
  <c r="H230" i="1"/>
  <c r="H429" i="1"/>
  <c r="H507" i="1"/>
  <c r="H98" i="1"/>
  <c r="H549" i="1"/>
  <c r="H112" i="1"/>
  <c r="H468" i="1"/>
  <c r="H570" i="1"/>
  <c r="H282" i="1"/>
  <c r="H200" i="1"/>
  <c r="H398" i="1"/>
  <c r="H190" i="1"/>
  <c r="H297" i="1"/>
  <c r="H92" i="1"/>
  <c r="H336" i="1"/>
  <c r="H247" i="1"/>
  <c r="H356" i="1"/>
  <c r="H239" i="1"/>
  <c r="H531" i="1"/>
  <c r="H235" i="1"/>
  <c r="H355" i="1"/>
  <c r="H26" i="1"/>
  <c r="H275" i="1"/>
  <c r="H269" i="1"/>
  <c r="H156" i="1"/>
  <c r="H71" i="1"/>
  <c r="H186" i="1"/>
  <c r="H413" i="1"/>
  <c r="H550" i="1"/>
  <c r="H225" i="1"/>
  <c r="H584" i="1"/>
  <c r="H437" i="1"/>
  <c r="H250" i="1"/>
  <c r="H95" i="1"/>
  <c r="H19" i="1"/>
  <c r="H481" i="1"/>
  <c r="H205" i="1"/>
  <c r="H85" i="1"/>
  <c r="H31" i="1"/>
  <c r="H520" i="1"/>
  <c r="H123" i="1"/>
  <c r="H377" i="1"/>
  <c r="H341" i="1"/>
  <c r="H129" i="1"/>
  <c r="H288" i="1"/>
  <c r="H103" i="1"/>
  <c r="H124" i="1"/>
  <c r="H287" i="1"/>
  <c r="H521" i="1"/>
  <c r="H281" i="1"/>
  <c r="H212" i="1"/>
  <c r="H394" i="1"/>
  <c r="H442" i="1"/>
  <c r="H306" i="1"/>
  <c r="H255" i="1"/>
  <c r="H439" i="1"/>
  <c r="H166" i="1"/>
  <c r="H327" i="1"/>
  <c r="H93" i="1"/>
  <c r="H286" i="1"/>
  <c r="H482" i="1"/>
  <c r="H369" i="1"/>
  <c r="H303" i="1"/>
  <c r="H414" i="1"/>
  <c r="H17" i="1"/>
  <c r="H290" i="1"/>
  <c r="H24" i="1"/>
  <c r="H42" i="1"/>
  <c r="H279" i="1"/>
  <c r="H227" i="1"/>
  <c r="H514" i="1"/>
  <c r="H107" i="1"/>
  <c r="H517" i="1"/>
  <c r="H338" i="1"/>
  <c r="H572" i="1"/>
  <c r="H65" i="1"/>
  <c r="H232" i="1"/>
  <c r="H350" i="1"/>
  <c r="H193" i="1"/>
  <c r="H506" i="1"/>
  <c r="H120" i="1"/>
  <c r="H329" i="1"/>
  <c r="H280" i="1"/>
  <c r="H563" i="1"/>
  <c r="H252" i="1"/>
  <c r="H13" i="1"/>
  <c r="H328" i="1"/>
  <c r="H278" i="1"/>
  <c r="H83" i="1"/>
  <c r="H170" i="1"/>
  <c r="H44" i="1"/>
  <c r="H551" i="1"/>
  <c r="H604" i="1"/>
  <c r="H134" i="1"/>
  <c r="H628" i="1"/>
  <c r="H605" i="1"/>
  <c r="H244" i="1"/>
  <c r="H180" i="1"/>
  <c r="H118" i="1"/>
  <c r="H430" i="1"/>
  <c r="H319" i="1"/>
  <c r="H540" i="1"/>
  <c r="H470" i="1"/>
  <c r="H352" i="1"/>
  <c r="H385" i="1"/>
  <c r="H214" i="1"/>
  <c r="H144" i="1"/>
  <c r="H406" i="1"/>
  <c r="H360" i="1"/>
  <c r="H606" i="1"/>
  <c r="H599" i="1"/>
  <c r="H467" i="1"/>
  <c r="H337" i="1"/>
  <c r="H304" i="1"/>
  <c r="H597" i="1"/>
  <c r="H299" i="1"/>
  <c r="H295" i="1"/>
  <c r="H178" i="1"/>
  <c r="H592" i="1"/>
  <c r="H119" i="1"/>
  <c r="H242" i="1"/>
  <c r="H640" i="1"/>
  <c r="H495" i="1"/>
  <c r="H110" i="1"/>
  <c r="H544" i="1"/>
  <c r="H380" i="1"/>
  <c r="H608" i="1"/>
  <c r="H408" i="1"/>
  <c r="H322" i="1"/>
  <c r="H66" i="1"/>
  <c r="H532" i="1"/>
  <c r="H438" i="1"/>
  <c r="H417" i="1"/>
  <c r="H585" i="1"/>
  <c r="H263" i="1"/>
  <c r="H509" i="1"/>
  <c r="H167" i="1"/>
  <c r="H301" i="1"/>
  <c r="H382" i="1"/>
  <c r="H475" i="1"/>
  <c r="H476" i="1"/>
  <c r="H427" i="1"/>
  <c r="H503" i="1"/>
  <c r="H472" i="1"/>
  <c r="H464" i="1"/>
  <c r="H573" i="1"/>
  <c r="H609" i="1"/>
  <c r="H574" i="1"/>
  <c r="H629" i="1"/>
  <c r="H610" i="1"/>
  <c r="H486" i="1"/>
  <c r="H378" i="1"/>
  <c r="H224" i="1"/>
  <c r="H253" i="1"/>
  <c r="H33" i="1"/>
  <c r="H181" i="1"/>
  <c r="H552" i="1"/>
  <c r="H28" i="1"/>
  <c r="H376" i="1"/>
  <c r="H48" i="1"/>
  <c r="H245" i="1"/>
  <c r="H70" i="1"/>
  <c r="H631" i="1"/>
  <c r="H392" i="1"/>
  <c r="H480" i="1"/>
  <c r="H146" i="1"/>
  <c r="H22" i="1"/>
  <c r="H138" i="1"/>
  <c r="H508" i="1"/>
  <c r="H213" i="1"/>
  <c r="H576" i="1"/>
  <c r="H27" i="1"/>
  <c r="H632" i="1"/>
  <c r="H135" i="1"/>
  <c r="H122" i="1"/>
  <c r="H18" i="1"/>
  <c r="H434" i="1"/>
  <c r="H270" i="1"/>
  <c r="H463" i="1"/>
  <c r="H633" i="1"/>
  <c r="H285" i="1"/>
  <c r="H29" i="1"/>
  <c r="H431" i="1"/>
  <c r="H94" i="1"/>
  <c r="H154" i="1"/>
  <c r="H634" i="1"/>
  <c r="H49" i="1"/>
  <c r="H16" i="1"/>
  <c r="H473" i="1"/>
  <c r="H499" i="1"/>
  <c r="H289" i="1"/>
  <c r="H590" i="1"/>
  <c r="H189" i="1"/>
  <c r="H577" i="1"/>
  <c r="H534" i="1"/>
  <c r="H393" i="1"/>
  <c r="J393" i="1" s="1"/>
  <c r="H635" i="1"/>
  <c r="H130" i="1"/>
  <c r="H425" i="1"/>
  <c r="H63" i="1"/>
  <c r="H370" i="1"/>
  <c r="H221" i="1"/>
  <c r="H375" i="1"/>
  <c r="H143" i="1"/>
  <c r="H310" i="1"/>
  <c r="H125" i="1"/>
  <c r="H34" i="1"/>
  <c r="H523" i="1"/>
  <c r="H158" i="1"/>
  <c r="H379" i="1"/>
  <c r="H588" i="1"/>
  <c r="H148" i="1"/>
  <c r="H300" i="1"/>
  <c r="H479" i="1"/>
  <c r="H316" i="1"/>
  <c r="H483" i="1"/>
  <c r="H136" i="1"/>
  <c r="H249" i="1"/>
  <c r="H237" i="1"/>
  <c r="H114" i="1"/>
  <c r="H565" i="1"/>
  <c r="H553" i="1"/>
  <c r="H513" i="1"/>
  <c r="H37" i="1"/>
  <c r="H537" i="1"/>
  <c r="H489" i="1"/>
  <c r="H330" i="1"/>
  <c r="H305" i="1"/>
  <c r="H478" i="1"/>
  <c r="H217" i="1"/>
  <c r="H183" i="1"/>
  <c r="H140" i="1"/>
  <c r="H208" i="1"/>
  <c r="H545" i="1"/>
  <c r="H538" i="1"/>
  <c r="H324" i="1"/>
  <c r="H641" i="1"/>
  <c r="H591" i="1"/>
  <c r="H636" i="1"/>
  <c r="H372" i="1"/>
  <c r="H199" i="1"/>
  <c r="H313" i="1"/>
  <c r="H53" i="1"/>
  <c r="H401" i="1"/>
  <c r="H62" i="1"/>
  <c r="H542" i="1"/>
  <c r="H359" i="1"/>
  <c r="H617" i="1"/>
  <c r="H420" i="1"/>
  <c r="H411" i="1"/>
  <c r="H111" i="1"/>
  <c r="H164" i="1"/>
  <c r="H484" i="1"/>
  <c r="H504" i="1"/>
  <c r="H428" i="1"/>
  <c r="H88" i="1"/>
  <c r="H441" i="1"/>
  <c r="H396" i="1"/>
  <c r="H137" i="1"/>
  <c r="H47" i="1"/>
  <c r="H562" i="1"/>
  <c r="H315" i="1"/>
  <c r="H618" i="1"/>
  <c r="H185" i="1"/>
  <c r="H254" i="1"/>
  <c r="H215" i="1"/>
  <c r="H274" i="1"/>
  <c r="H272" i="1"/>
  <c r="H182" i="1"/>
  <c r="H555" i="1"/>
  <c r="H547" i="1"/>
  <c r="H510" i="1"/>
  <c r="H566" i="1"/>
  <c r="H283" i="1"/>
  <c r="H619" i="1"/>
  <c r="H23" i="1"/>
  <c r="H613" i="1"/>
  <c r="H32" i="1"/>
  <c r="H106" i="1"/>
  <c r="H397" i="1"/>
  <c r="H340" i="1"/>
  <c r="J340" i="1" s="1"/>
  <c r="H99" i="1"/>
  <c r="H344" i="1"/>
  <c r="H141" i="1"/>
  <c r="H556" i="1"/>
  <c r="H496" i="1"/>
  <c r="H497" i="1"/>
  <c r="H291" i="1"/>
  <c r="H308" i="1"/>
  <c r="H74" i="1"/>
  <c r="H261" i="1"/>
  <c r="H298" i="1"/>
  <c r="H386" i="1"/>
  <c r="H251" i="1"/>
  <c r="H211" i="1"/>
  <c r="H365" i="1"/>
  <c r="H541" i="1"/>
  <c r="H202" i="1"/>
  <c r="H126" i="1"/>
  <c r="H638" i="1"/>
  <c r="H639" i="1"/>
  <c r="H257" i="1"/>
  <c r="H559" i="1"/>
  <c r="H165" i="1"/>
  <c r="H46" i="1"/>
  <c r="H333" i="1"/>
  <c r="H43" i="1"/>
  <c r="H560" i="1"/>
  <c r="H407" i="1"/>
  <c r="H220" i="1"/>
  <c r="H84" i="1"/>
  <c r="H579" i="1"/>
  <c r="H172" i="1"/>
  <c r="H104" i="1"/>
  <c r="H465" i="1"/>
  <c r="H89" i="1"/>
  <c r="H169" i="1"/>
  <c r="H51" i="1"/>
  <c r="H294" i="1"/>
  <c r="H9" i="1"/>
  <c r="H20" i="1"/>
  <c r="H561" i="1"/>
  <c r="H571" i="1"/>
  <c r="H500" i="1"/>
  <c r="H518" i="1"/>
  <c r="H519" i="1"/>
  <c r="H395" i="1"/>
  <c r="H522" i="1"/>
  <c r="H440" i="1"/>
  <c r="H578" i="1"/>
  <c r="H196" i="1"/>
  <c r="H354" i="1"/>
  <c r="H614" i="1"/>
  <c r="H268" i="1"/>
  <c r="H266" i="1"/>
  <c r="H113" i="1"/>
  <c r="H36" i="1"/>
  <c r="H543" i="1"/>
  <c r="H60" i="1"/>
  <c r="H642" i="1"/>
  <c r="H515" i="1"/>
  <c r="H233" i="1"/>
  <c r="H102" i="1"/>
  <c r="H575" i="1"/>
  <c r="H82" i="1"/>
  <c r="H187" i="1"/>
  <c r="H246" i="1"/>
  <c r="H580" i="1"/>
  <c r="H206" i="1"/>
  <c r="H466" i="1"/>
  <c r="H198" i="1"/>
  <c r="H412" i="1"/>
  <c r="H651" i="1"/>
  <c r="H197" i="1"/>
  <c r="H554" i="1"/>
  <c r="H15" i="1"/>
  <c r="H318" i="1"/>
  <c r="H536" i="1"/>
  <c r="H586" i="1"/>
  <c r="H231" i="1"/>
  <c r="H226" i="1"/>
  <c r="H582" i="1"/>
  <c r="H238" i="1"/>
  <c r="H524" i="1"/>
  <c r="H581" i="1"/>
  <c r="H127" i="1"/>
  <c r="H351" i="1"/>
  <c r="H384" i="1"/>
  <c r="H589" i="1"/>
  <c r="H643" i="1"/>
  <c r="H546" i="1"/>
  <c r="H339" i="1"/>
  <c r="H314" i="1"/>
  <c r="H368" i="1"/>
  <c r="H52" i="1"/>
  <c r="H35" i="1"/>
  <c r="H40" i="1"/>
  <c r="H494" i="1"/>
  <c r="H309" i="1"/>
  <c r="H72" i="1"/>
  <c r="H145" i="1"/>
  <c r="H320" i="1"/>
  <c r="H271" i="1"/>
  <c r="H163" i="1"/>
  <c r="H622" i="1"/>
  <c r="H248" i="1"/>
  <c r="H292" i="1"/>
  <c r="H587" i="1"/>
  <c r="H207" i="1"/>
  <c r="H204" i="1"/>
  <c r="H374" i="1"/>
  <c r="H491" i="1"/>
  <c r="H389" i="1"/>
  <c r="H623" i="1"/>
  <c r="H516" i="1"/>
  <c r="H191" i="1"/>
  <c r="H78" i="1"/>
  <c r="H132" i="1"/>
  <c r="H149" i="1"/>
  <c r="H50" i="1"/>
  <c r="H109" i="1"/>
  <c r="H188" i="1"/>
  <c r="H131" i="1"/>
  <c r="H229" i="1"/>
  <c r="H58" i="1"/>
  <c r="H594" i="1"/>
  <c r="H97" i="1"/>
  <c r="H150" i="1"/>
  <c r="H624" i="1"/>
  <c r="H302" i="1"/>
  <c r="H405" i="1"/>
  <c r="H593" i="1"/>
  <c r="H512" i="1"/>
  <c r="H548" i="1"/>
  <c r="H128" i="1"/>
  <c r="H262" i="1"/>
  <c r="H383" i="1"/>
  <c r="H171" i="1"/>
  <c r="H645" i="1"/>
  <c r="H151" i="1"/>
  <c r="H201" i="1"/>
  <c r="H222" i="1"/>
  <c r="H387" i="1"/>
  <c r="H485" i="1"/>
  <c r="H332" i="1"/>
  <c r="H56" i="1"/>
  <c r="H462" i="1"/>
  <c r="H644" i="1"/>
  <c r="H228" i="1"/>
  <c r="H30" i="1"/>
  <c r="H595" i="1"/>
  <c r="H10" i="1"/>
  <c r="H157" i="1"/>
  <c r="H223" i="1"/>
  <c r="H477" i="1"/>
  <c r="H528" i="1"/>
  <c r="H174" i="1"/>
  <c r="H276" i="1"/>
  <c r="H415" i="1"/>
  <c r="H161" i="1"/>
  <c r="H525" i="1"/>
  <c r="H647" i="1"/>
  <c r="H194" i="1"/>
  <c r="H11" i="1"/>
  <c r="H192" i="1"/>
  <c r="H175" i="1"/>
  <c r="H177" i="1"/>
  <c r="H535" i="1"/>
  <c r="H390" i="1"/>
  <c r="H603" i="1"/>
  <c r="H423" i="1"/>
  <c r="H307" i="1"/>
  <c r="H331" i="1"/>
  <c r="H68" i="1"/>
  <c r="H117" i="1"/>
  <c r="H55" i="1"/>
  <c r="H598" i="1"/>
  <c r="H403" i="1"/>
  <c r="H296" i="1"/>
  <c r="H362" i="1"/>
  <c r="H311" i="1"/>
  <c r="H234" i="1"/>
  <c r="H557" i="1"/>
  <c r="H601" i="1"/>
  <c r="H620" i="1"/>
  <c r="H142" i="1"/>
  <c r="H90" i="1"/>
  <c r="H195" i="1"/>
  <c r="H203" i="1"/>
  <c r="H526" i="1"/>
  <c r="H334" i="1"/>
  <c r="H435" i="1"/>
  <c r="H529" i="1"/>
  <c r="H611" i="1"/>
  <c r="H648" i="1"/>
  <c r="H218" i="1"/>
  <c r="H649" i="1"/>
  <c r="H421" i="1"/>
  <c r="H471" i="1"/>
  <c r="H346" i="1"/>
  <c r="H530" i="1"/>
  <c r="H100" i="1"/>
  <c r="H91" i="1"/>
  <c r="H159" i="1"/>
  <c r="H342" i="1"/>
  <c r="H348" i="1"/>
  <c r="H625" i="1"/>
  <c r="H105" i="1"/>
  <c r="H312" i="1"/>
  <c r="H404" i="1"/>
  <c r="H615" i="1"/>
  <c r="H650" i="1"/>
  <c r="H616" i="1"/>
  <c r="H116" i="1"/>
  <c r="H558" i="1"/>
  <c r="H621" i="1"/>
  <c r="H152" i="1"/>
  <c r="H373" i="1"/>
  <c r="H630" i="1"/>
  <c r="H155" i="1"/>
  <c r="H400" i="1"/>
  <c r="H321" i="1"/>
  <c r="H61" i="1"/>
  <c r="H184" i="1"/>
  <c r="H284" i="1"/>
  <c r="H69" i="1"/>
  <c r="H367" i="1"/>
  <c r="H361" i="1"/>
  <c r="J361" i="1" s="1"/>
  <c r="H409" i="1"/>
  <c r="H347" i="1"/>
  <c r="H267" i="1"/>
  <c r="H399" i="1"/>
  <c r="H511" i="1"/>
  <c r="H418" i="1"/>
  <c r="H343" i="1"/>
  <c r="H12" i="1"/>
  <c r="H264" i="1"/>
  <c r="H646" i="1"/>
  <c r="H153" i="1"/>
  <c r="H241" i="1"/>
  <c r="H527" i="1"/>
  <c r="H410" i="1"/>
  <c r="H626" i="1"/>
  <c r="H168" i="1"/>
  <c r="H243" i="1"/>
  <c r="H627" i="1"/>
  <c r="H14" i="1"/>
  <c r="J7" i="1" l="1"/>
  <c r="J110" i="1"/>
  <c r="J5" i="1"/>
  <c r="J4" i="1"/>
  <c r="J530" i="1"/>
  <c r="J8" i="1"/>
  <c r="J6" i="1"/>
  <c r="J152" i="1"/>
  <c r="J312" i="1"/>
  <c r="J3" i="1"/>
  <c r="J49" i="1"/>
  <c r="J72" i="1"/>
  <c r="J328" i="1"/>
  <c r="J66" i="1"/>
  <c r="J63" i="1"/>
  <c r="J68" i="1"/>
  <c r="J56" i="1"/>
  <c r="J377" i="1"/>
  <c r="J38" i="1"/>
  <c r="J36" i="1"/>
  <c r="J257" i="1"/>
  <c r="J255" i="1"/>
  <c r="J145" i="1"/>
  <c r="J138" i="1"/>
  <c r="J136" i="1"/>
  <c r="J131" i="1"/>
  <c r="J157" i="1"/>
  <c r="J130" i="1"/>
  <c r="J137" i="1"/>
  <c r="J156" i="1"/>
  <c r="J427" i="1"/>
  <c r="J188" i="1"/>
  <c r="J81" i="1"/>
  <c r="J143" i="1"/>
  <c r="J134" i="1"/>
  <c r="J161" i="1"/>
  <c r="J354" i="1"/>
  <c r="J76" i="1"/>
  <c r="J234" i="1"/>
  <c r="J558" i="1"/>
  <c r="J264" i="1"/>
  <c r="J65" i="1"/>
  <c r="J122" i="1"/>
  <c r="J153" i="1"/>
  <c r="J42" i="1"/>
  <c r="J41" i="1"/>
  <c r="J400" i="1"/>
  <c r="J113" i="1"/>
  <c r="J165" i="1"/>
  <c r="J162" i="1"/>
  <c r="J164" i="1"/>
  <c r="J163" i="1"/>
  <c r="J78" i="1"/>
  <c r="J52" i="1"/>
  <c r="J185" i="1"/>
  <c r="J492" i="1"/>
  <c r="J363" i="1"/>
  <c r="J356" i="1"/>
  <c r="J575" i="1"/>
  <c r="J560" i="1"/>
  <c r="J510" i="1"/>
  <c r="J579" i="1"/>
  <c r="J582" i="1"/>
  <c r="J547" i="1"/>
  <c r="J338" i="1"/>
  <c r="J244" i="1"/>
  <c r="J146" i="1"/>
  <c r="J187" i="1"/>
  <c r="J222" i="1"/>
  <c r="J355" i="1"/>
  <c r="J59" i="1"/>
  <c r="J442" i="1"/>
  <c r="J118" i="1"/>
  <c r="J226" i="1"/>
  <c r="J242" i="1"/>
  <c r="J432" i="1"/>
  <c r="J469" i="1"/>
  <c r="J263" i="1"/>
  <c r="J216" i="1"/>
  <c r="J345" i="1"/>
  <c r="J215" i="1"/>
  <c r="J83" i="1"/>
  <c r="J180" i="1"/>
  <c r="J183" i="1"/>
  <c r="J70" i="1"/>
  <c r="J387" i="1"/>
  <c r="J181" i="1"/>
  <c r="J501" i="1"/>
  <c r="J288" i="1"/>
  <c r="J406" i="1"/>
  <c r="J376" i="1"/>
  <c r="J317" i="1"/>
  <c r="J223" i="1"/>
  <c r="J177" i="1"/>
  <c r="J45" i="1"/>
  <c r="J341" i="1"/>
  <c r="J597" i="1"/>
  <c r="J127" i="1"/>
  <c r="J468" i="1"/>
  <c r="J325" i="1"/>
  <c r="J123" i="1"/>
  <c r="J384" i="1"/>
  <c r="J331" i="1"/>
  <c r="J77" i="1"/>
  <c r="J461" i="1"/>
  <c r="J413" i="1"/>
  <c r="J495" i="1"/>
  <c r="J128" i="1"/>
  <c r="J117" i="1"/>
  <c r="J47" i="1"/>
  <c r="J50" i="1"/>
  <c r="J55" i="1"/>
  <c r="J398" i="1"/>
  <c r="J472" i="1"/>
  <c r="J191" i="1"/>
  <c r="J142" i="1"/>
  <c r="J176" i="1"/>
  <c r="J173" i="1"/>
  <c r="J305" i="1"/>
  <c r="J182" i="1"/>
  <c r="J374" i="1"/>
  <c r="J195" i="1"/>
  <c r="J265" i="1"/>
  <c r="J101" i="1"/>
  <c r="J277" i="1"/>
  <c r="J537" i="1"/>
  <c r="J344" i="1"/>
  <c r="J271" i="1"/>
  <c r="J367" i="1"/>
  <c r="J596" i="1"/>
  <c r="J240" i="1"/>
  <c r="J419" i="1"/>
  <c r="J350" i="1"/>
  <c r="J375" i="1"/>
  <c r="J220" i="1"/>
  <c r="J368" i="1"/>
  <c r="J418" i="1"/>
  <c r="J62" i="1"/>
  <c r="J353" i="1"/>
  <c r="J154" i="1"/>
  <c r="J51" i="1"/>
  <c r="J314" i="1"/>
  <c r="J243" i="1"/>
  <c r="J260" i="1"/>
  <c r="J225" i="1"/>
  <c r="J619" i="1"/>
  <c r="J388" i="1"/>
  <c r="J88" i="1"/>
  <c r="J31" i="1"/>
  <c r="J111" i="1"/>
  <c r="J86" i="1"/>
  <c r="J109" i="1"/>
  <c r="J84" i="1"/>
  <c r="J43" i="1"/>
  <c r="J80" i="1"/>
  <c r="J120" i="1"/>
  <c r="J39" i="1"/>
  <c r="J116" i="1"/>
  <c r="J170" i="1"/>
  <c r="J33" i="1"/>
  <c r="J30" i="1"/>
  <c r="J349" i="1"/>
  <c r="J637" i="1"/>
  <c r="J25" i="1"/>
  <c r="J24" i="1"/>
  <c r="J133" i="1"/>
  <c r="J247" i="1"/>
  <c r="J526" i="1"/>
  <c r="J503" i="1"/>
  <c r="J605" i="1"/>
  <c r="J46" i="1"/>
  <c r="J513" i="1"/>
  <c r="J301" i="1"/>
  <c r="J552" i="1"/>
  <c r="J542" i="1"/>
  <c r="J550" i="1"/>
  <c r="J626" i="1"/>
  <c r="J586" i="1"/>
  <c r="J531" i="1"/>
  <c r="J297" i="1"/>
  <c r="J92" i="1"/>
  <c r="J190" i="1"/>
  <c r="J102" i="1"/>
  <c r="J555" i="1"/>
  <c r="J565" i="1"/>
  <c r="J412" i="1"/>
  <c r="J276" i="1"/>
  <c r="J235" i="1"/>
  <c r="J256" i="1"/>
  <c r="J28" i="1"/>
  <c r="J296" i="1"/>
  <c r="J595" i="1"/>
  <c r="J129" i="1"/>
  <c r="J166" i="1"/>
  <c r="J352" i="1"/>
  <c r="J644" i="1"/>
  <c r="J576" i="1"/>
  <c r="J483" i="1"/>
  <c r="J422" i="1"/>
  <c r="J524" i="1"/>
  <c r="J578" i="1"/>
  <c r="J23" i="1"/>
  <c r="J566" i="1"/>
  <c r="J19" i="1"/>
  <c r="J366" i="1"/>
  <c r="J22" i="1"/>
  <c r="J383" i="1"/>
  <c r="J602" i="1"/>
  <c r="J147" i="1"/>
  <c r="J424" i="1"/>
  <c r="J178" i="1"/>
  <c r="J273" i="1"/>
  <c r="J108" i="1"/>
  <c r="J32" i="1"/>
  <c r="J135" i="1"/>
  <c r="J98" i="1"/>
  <c r="J140" i="1"/>
  <c r="J523" i="1"/>
  <c r="J610" i="1"/>
  <c r="J498" i="1"/>
  <c r="J364" i="1"/>
  <c r="J217" i="1"/>
  <c r="J337" i="1"/>
  <c r="J310" i="1"/>
  <c r="J636" i="1"/>
  <c r="J474" i="1"/>
  <c r="J402" i="1"/>
  <c r="J54" i="1"/>
  <c r="J386" i="1"/>
  <c r="J434" i="1"/>
  <c r="J119" i="1"/>
  <c r="J395" i="1"/>
  <c r="J321" i="1"/>
  <c r="J379" i="1"/>
  <c r="J549" i="1"/>
  <c r="J107" i="1"/>
  <c r="J358" i="1"/>
  <c r="J158" i="1"/>
  <c r="J320" i="1"/>
  <c r="J612" i="1"/>
  <c r="J571" i="1"/>
  <c r="J287" i="1"/>
  <c r="J429" i="1"/>
  <c r="J647" i="1"/>
  <c r="J505" i="1"/>
  <c r="J643" i="1"/>
  <c r="J286" i="1"/>
  <c r="J82" i="1"/>
  <c r="J253" i="1"/>
  <c r="J628" i="1"/>
  <c r="J630" i="1"/>
  <c r="J218" i="1"/>
  <c r="J365" i="1"/>
  <c r="J623" i="1"/>
  <c r="J615" i="1"/>
  <c r="J201" i="1"/>
  <c r="J408" i="1"/>
  <c r="J272" i="1"/>
  <c r="J380" i="1"/>
  <c r="J551" i="1"/>
  <c r="J648" i="1"/>
  <c r="J126" i="1"/>
  <c r="J44" i="1"/>
  <c r="J285" i="1"/>
  <c r="J512" i="1"/>
  <c r="J600" i="1"/>
  <c r="J511" i="1"/>
  <c r="J528" i="1"/>
  <c r="J35" i="1"/>
  <c r="I417" i="1"/>
  <c r="J417" i="1" s="1"/>
  <c r="I279" i="1"/>
  <c r="J279" i="1" s="1"/>
  <c r="J175" i="1"/>
  <c r="J436" i="1"/>
  <c r="I561" i="1"/>
  <c r="J561" i="1" s="1"/>
  <c r="I261" i="1"/>
  <c r="J261" i="1" s="1"/>
  <c r="J378" i="1"/>
  <c r="J631" i="1"/>
  <c r="J382" i="1"/>
  <c r="J608" i="1"/>
  <c r="J489" i="1"/>
  <c r="J507" i="1"/>
  <c r="J601" i="1"/>
  <c r="J227" i="1"/>
  <c r="I335" i="1"/>
  <c r="J335" i="1" s="1"/>
  <c r="J500" i="1"/>
  <c r="J410" i="1"/>
  <c r="J431" i="1"/>
  <c r="J323" i="1"/>
  <c r="I144" i="1"/>
  <c r="J144" i="1" s="1"/>
  <c r="J266" i="1"/>
  <c r="I359" i="1"/>
  <c r="J359" i="1" s="1"/>
  <c r="I476" i="1"/>
  <c r="J476" i="1" s="1"/>
  <c r="I514" i="1"/>
  <c r="J514" i="1" s="1"/>
  <c r="J564" i="1"/>
  <c r="J463" i="1"/>
  <c r="J421" i="1"/>
  <c r="J262" i="1"/>
  <c r="I141" i="1"/>
  <c r="J141" i="1" s="1"/>
  <c r="J627" i="1"/>
  <c r="J405" i="1"/>
  <c r="I281" i="1"/>
  <c r="J281" i="1" s="1"/>
  <c r="J89" i="1"/>
  <c r="J246" i="1"/>
  <c r="J254" i="1"/>
  <c r="I540" i="1"/>
  <c r="J540" i="1" s="1"/>
  <c r="J521" i="1"/>
  <c r="J385" i="1"/>
  <c r="J186" i="1"/>
  <c r="J373" i="1"/>
  <c r="J624" i="1"/>
  <c r="J214" i="1"/>
  <c r="J525" i="1"/>
  <c r="J533" i="1"/>
  <c r="J20" i="1"/>
  <c r="J527" i="1"/>
  <c r="J621" i="1"/>
  <c r="J270" i="1"/>
  <c r="J581" i="1"/>
  <c r="J124" i="1"/>
  <c r="J93" i="1"/>
  <c r="J381" i="1"/>
  <c r="J557" i="1"/>
  <c r="J415" i="1"/>
  <c r="J520" i="1"/>
  <c r="J554" i="1"/>
  <c r="J27" i="1"/>
  <c r="J294" i="1"/>
  <c r="J496" i="1"/>
  <c r="I538" i="1"/>
  <c r="J538" i="1" s="1"/>
  <c r="J569" i="1"/>
  <c r="J307" i="1"/>
  <c r="J541" i="1"/>
  <c r="J403" i="1"/>
  <c r="J132" i="1"/>
  <c r="J604" i="1"/>
  <c r="J481" i="1"/>
  <c r="J280" i="1"/>
  <c r="J544" i="1"/>
  <c r="J69" i="1"/>
  <c r="J598" i="1"/>
  <c r="I516" i="1"/>
  <c r="J516" i="1" s="1"/>
  <c r="J197" i="1"/>
  <c r="J515" i="1"/>
  <c r="J169" i="1"/>
  <c r="J278" i="1"/>
  <c r="J351" i="1"/>
  <c r="J362" i="1"/>
  <c r="J570" i="1"/>
  <c r="J292" i="1"/>
  <c r="J466" i="1"/>
  <c r="J60" i="1"/>
  <c r="J390" i="1"/>
  <c r="J206" i="1"/>
  <c r="J268" i="1"/>
  <c r="J232" i="1"/>
  <c r="J208" i="1"/>
  <c r="J336" i="1"/>
  <c r="I485" i="1"/>
  <c r="J485" i="1" s="1"/>
  <c r="I18" i="1"/>
  <c r="J18" i="1" s="1"/>
  <c r="I171" i="1"/>
  <c r="J171" i="1" s="1"/>
  <c r="I593" i="1"/>
  <c r="J593" i="1" s="1"/>
  <c r="I556" i="1"/>
  <c r="J556" i="1" s="1"/>
  <c r="I283" i="1"/>
  <c r="J283" i="1" s="1"/>
  <c r="I67" i="1"/>
  <c r="J67" i="1" s="1"/>
  <c r="I172" i="1"/>
  <c r="J172" i="1" s="1"/>
  <c r="I401" i="1"/>
  <c r="J401" i="1" s="1"/>
  <c r="J535" i="1"/>
  <c r="I250" i="1"/>
  <c r="J250" i="1" s="1"/>
  <c r="J433" i="1"/>
  <c r="J259" i="1"/>
  <c r="J567" i="1"/>
  <c r="J580" i="1"/>
  <c r="J634" i="1"/>
  <c r="J115" i="1"/>
  <c r="J470" i="1"/>
  <c r="J94" i="1"/>
  <c r="J509" i="1"/>
  <c r="J48" i="1"/>
  <c r="J618" i="1"/>
  <c r="J372" i="1"/>
  <c r="J174" i="1"/>
  <c r="J508" i="1"/>
  <c r="J479" i="1"/>
  <c r="J438" i="1"/>
  <c r="J236" i="1"/>
  <c r="J282" i="1"/>
  <c r="J465" i="1"/>
  <c r="J313" i="1"/>
  <c r="J249" i="1"/>
  <c r="J289" i="1"/>
  <c r="J189" i="1"/>
  <c r="J573" i="1"/>
  <c r="J219" i="1"/>
  <c r="J585" i="1"/>
  <c r="J302" i="1"/>
  <c r="J239" i="1"/>
  <c r="J90" i="1"/>
  <c r="J58" i="1"/>
  <c r="J155" i="1"/>
  <c r="J603" i="1"/>
  <c r="J409" i="1"/>
  <c r="J493" i="1"/>
  <c r="J300" i="1"/>
  <c r="J284" i="1"/>
  <c r="J319" i="1"/>
  <c r="J95" i="1"/>
  <c r="J200" i="1"/>
  <c r="J315" i="1"/>
  <c r="J391" i="1"/>
  <c r="J568" i="1"/>
  <c r="J184" i="1"/>
  <c r="J199" i="1"/>
  <c r="J316" i="1"/>
  <c r="J482" i="1"/>
  <c r="J73" i="1"/>
  <c r="J625" i="1"/>
  <c r="J473" i="1"/>
  <c r="J194" i="1"/>
  <c r="J494" i="1"/>
  <c r="J291" i="1"/>
  <c r="J574" i="1"/>
  <c r="J404" i="1"/>
  <c r="J40" i="1"/>
  <c r="J622" i="1"/>
  <c r="J539" i="1"/>
  <c r="J594" i="1"/>
  <c r="J64" i="1"/>
  <c r="J553" i="1"/>
  <c r="J577" i="1"/>
  <c r="J213" i="1"/>
  <c r="J609" i="1"/>
  <c r="J606" i="1"/>
  <c r="J179" i="1"/>
  <c r="J502" i="1"/>
  <c r="J426" i="1"/>
  <c r="J357" i="1"/>
  <c r="J371" i="1"/>
  <c r="J79" i="1"/>
  <c r="J21" i="1"/>
  <c r="J303" i="1"/>
  <c r="J15" i="1"/>
  <c r="J14" i="1"/>
  <c r="J369" i="1"/>
  <c r="J414" i="1"/>
  <c r="J306" i="1"/>
  <c r="J290" i="1"/>
  <c r="J17" i="1"/>
  <c r="J16" i="1"/>
  <c r="J13" i="1"/>
  <c r="J252" i="1"/>
  <c r="J71" i="1"/>
  <c r="J12" i="1"/>
  <c r="J11" i="1"/>
  <c r="J10" i="1"/>
  <c r="J9" i="1"/>
  <c r="J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<sst xmlns="http://schemas.openxmlformats.org/spreadsheetml/2006/main" count="4060" uniqueCount="2571">
  <si>
    <t>detention_facility_first</t>
  </si>
  <si>
    <t>cleaned_facility_name</t>
  </si>
  <si>
    <t>facility_code</t>
  </si>
  <si>
    <t>COLLIER COUNTY SHERIFF</t>
  </si>
  <si>
    <t>Collier County Sheriff</t>
  </si>
  <si>
    <t>COLLIFL</t>
  </si>
  <si>
    <t>FL</t>
  </si>
  <si>
    <t>COLO SPRINGS DEN HSI HOLD</t>
  </si>
  <si>
    <t>Colo Springs Den Hsi Hold</t>
  </si>
  <si>
    <t>CSDHOLD</t>
  </si>
  <si>
    <t>AL</t>
  </si>
  <si>
    <t>COLUMBIA CARE CENTER</t>
  </si>
  <si>
    <t>Columbia Care Center</t>
  </si>
  <si>
    <t>COLCASC</t>
  </si>
  <si>
    <t>SC</t>
  </si>
  <si>
    <t>AK</t>
  </si>
  <si>
    <t>Columbia</t>
  </si>
  <si>
    <t>COLUMBIA COUNTY JAIL</t>
  </si>
  <si>
    <t>Columbia County Jail</t>
  </si>
  <si>
    <t>COLUMFL</t>
  </si>
  <si>
    <t>COLUMBIA, SC HOLDROOM</t>
  </si>
  <si>
    <t>Columbia, Sc Hold Room</t>
  </si>
  <si>
    <t>COAHOLD</t>
  </si>
  <si>
    <t>AZ</t>
  </si>
  <si>
    <t>COLUMBUS HOLDROOM</t>
  </si>
  <si>
    <t>Columbus Hold Room</t>
  </si>
  <si>
    <t>CLMHOLD</t>
  </si>
  <si>
    <t>AR</t>
  </si>
  <si>
    <t>COOK INLET PRETRIAL, ANCH</t>
  </si>
  <si>
    <t>Cook Inlet Pre-Trial, Anch</t>
  </si>
  <si>
    <t>AKCOOKI</t>
  </si>
  <si>
    <t>CA</t>
  </si>
  <si>
    <t>CORPUS CHRISTI EOR HOLD ROOM</t>
  </si>
  <si>
    <t>Corpus Christi Eor Hold Room</t>
  </si>
  <si>
    <t>CRPHOLD</t>
  </si>
  <si>
    <t>CO</t>
  </si>
  <si>
    <t>CORRECTIONS CENTER OF NW OHIO</t>
  </si>
  <si>
    <t>OHNORWE</t>
  </si>
  <si>
    <t>CT</t>
  </si>
  <si>
    <t>COURTHOUSE USM CNTL ISLIP</t>
  </si>
  <si>
    <t>Courthouse Usm Cntl Islip</t>
  </si>
  <si>
    <t>CHMCINY</t>
  </si>
  <si>
    <t>NY</t>
  </si>
  <si>
    <t>New York</t>
  </si>
  <si>
    <t>CRAIG HOLDROOM</t>
  </si>
  <si>
    <t>Craig Hold Room</t>
  </si>
  <si>
    <t>CRGHOLD</t>
  </si>
  <si>
    <t>CULPEPER CO. ADULT DET. CENTER</t>
  </si>
  <si>
    <t>Culpeper County Adult Detention Center</t>
  </si>
  <si>
    <t>CULPEVA</t>
  </si>
  <si>
    <t>VA</t>
  </si>
  <si>
    <t>Culpeper</t>
  </si>
  <si>
    <t>CUMBERLAND COUNTY JAIL</t>
  </si>
  <si>
    <t>Cumberland County Jail</t>
  </si>
  <si>
    <t>CUMBEME</t>
  </si>
  <si>
    <t>ME</t>
  </si>
  <si>
    <t>D. RAY JAMES PRISON</t>
  </si>
  <si>
    <t>D. Ray James Prison</t>
  </si>
  <si>
    <t>GADRYJM</t>
  </si>
  <si>
    <t>GA</t>
  </si>
  <si>
    <t>DADE CORRECTIONAL INST</t>
  </si>
  <si>
    <t>Dade Correctional Inst</t>
  </si>
  <si>
    <t>FLDADCI</t>
  </si>
  <si>
    <t>Guam</t>
  </si>
  <si>
    <t>GU</t>
  </si>
  <si>
    <t>DAKOTA COUNTY JAIL</t>
  </si>
  <si>
    <t>Dakota County Jail</t>
  </si>
  <si>
    <t>DAKOTNE</t>
  </si>
  <si>
    <t>NE</t>
  </si>
  <si>
    <t>DALLAS COUNTY JAIL-LEW STERRETT</t>
  </si>
  <si>
    <t>Dallas County Jail-Lew Sterrett</t>
  </si>
  <si>
    <t>DALCOTX</t>
  </si>
  <si>
    <t>TX</t>
  </si>
  <si>
    <t>ID</t>
  </si>
  <si>
    <t>Dallas</t>
  </si>
  <si>
    <t>DALLAS F.O. HOLD</t>
  </si>
  <si>
    <t>Dallas F.O. Hold</t>
  </si>
  <si>
    <t>DALHOLD</t>
  </si>
  <si>
    <t>IL</t>
  </si>
  <si>
    <t>DAVIESS COUNTY DETENTION CENTER</t>
  </si>
  <si>
    <t>Daviess County Detention Center</t>
  </si>
  <si>
    <t>DVCSDKY</t>
  </si>
  <si>
    <t>KY</t>
  </si>
  <si>
    <t>IN</t>
  </si>
  <si>
    <t>DAVIS CO. JAIL</t>
  </si>
  <si>
    <t>Davis County Jail</t>
  </si>
  <si>
    <t>DAVISUT</t>
  </si>
  <si>
    <t>UT</t>
  </si>
  <si>
    <t>IA</t>
  </si>
  <si>
    <t>DEL RIO DRO HOLD ROOM</t>
  </si>
  <si>
    <t>DLRHOLD</t>
  </si>
  <si>
    <t>KS</t>
  </si>
  <si>
    <t>DELANEY HALL DETENTION FACILITY</t>
  </si>
  <si>
    <t>Delaney Hall Detention Facility</t>
  </si>
  <si>
    <t>DHDFNJ</t>
  </si>
  <si>
    <t>NJ</t>
  </si>
  <si>
    <t>DENVER CONTRACT DETENTION FACILITY</t>
  </si>
  <si>
    <t>Denver Contract Detention Facility</t>
  </si>
  <si>
    <t>DENICDF</t>
  </si>
  <si>
    <t>LA</t>
  </si>
  <si>
    <t>DENVER COUNTY JAIL</t>
  </si>
  <si>
    <t>Denver County Jail</t>
  </si>
  <si>
    <t>DENVECO</t>
  </si>
  <si>
    <t>DENVER HOLD ROOM</t>
  </si>
  <si>
    <t>Denver Hold Room</t>
  </si>
  <si>
    <t>DENHOLD</t>
  </si>
  <si>
    <t>DEPT OF CORRECTIONS-HAGATNA</t>
  </si>
  <si>
    <t>GUDOCHG</t>
  </si>
  <si>
    <t>MD</t>
  </si>
  <si>
    <t>DES MOINES HOLD ROOM</t>
  </si>
  <si>
    <t>Des Moines Hold Room</t>
  </si>
  <si>
    <t>DSMHOLD</t>
  </si>
  <si>
    <t>MA</t>
  </si>
  <si>
    <t>DESERT VALLEY HOSPITAL</t>
  </si>
  <si>
    <t>Desert Valley Hospital</t>
  </si>
  <si>
    <t>DSRTVCA</t>
  </si>
  <si>
    <t>MI</t>
  </si>
  <si>
    <t>DESERT VIEW ANNEX</t>
  </si>
  <si>
    <t>Desert View Annex</t>
  </si>
  <si>
    <t>CADESVI</t>
  </si>
  <si>
    <t>VI</t>
  </si>
  <si>
    <t>MN</t>
  </si>
  <si>
    <t>DETROIT HOLDROOM</t>
  </si>
  <si>
    <t>Detroit Hold Room</t>
  </si>
  <si>
    <t>DETHOLD</t>
  </si>
  <si>
    <t>MS</t>
  </si>
  <si>
    <t>DEVENS FMC</t>
  </si>
  <si>
    <t>Devens Fmc</t>
  </si>
  <si>
    <t>BOPDEV</t>
  </si>
  <si>
    <t>MO</t>
  </si>
  <si>
    <t>DODGE COUNTY JAIL, JUNEAU</t>
  </si>
  <si>
    <t>Dodge County Jail, Juneau</t>
  </si>
  <si>
    <t>DODGEWI</t>
  </si>
  <si>
    <t>WI</t>
  </si>
  <si>
    <t>MT</t>
  </si>
  <si>
    <t>DOUGLAS CO. WISCONSIN</t>
  </si>
  <si>
    <t>Douglas County Wisconsin</t>
  </si>
  <si>
    <t>DOUGLWI</t>
  </si>
  <si>
    <t>DOUGLAS COUNTY DETENTION CENTER</t>
  </si>
  <si>
    <t>Douglas County Detention Center</t>
  </si>
  <si>
    <t>DOUGLCO</t>
  </si>
  <si>
    <t>NV</t>
  </si>
  <si>
    <t>DOVER HOLDROOM</t>
  </si>
  <si>
    <t>Dover Hold Room</t>
  </si>
  <si>
    <t>DVDHOLD</t>
  </si>
  <si>
    <t>NH</t>
  </si>
  <si>
    <t>DSMC - DEL SOL MEDICAL CENTER</t>
  </si>
  <si>
    <t>Dsmc - Del Sol Medical Center</t>
  </si>
  <si>
    <t>DSMCNTX</t>
  </si>
  <si>
    <t>DURANGO HOLDROOM</t>
  </si>
  <si>
    <t>Durango Hold Room</t>
  </si>
  <si>
    <t>DURHOLD</t>
  </si>
  <si>
    <t>NM</t>
  </si>
  <si>
    <t>EAST HIDALGO DETENTION CENTER</t>
  </si>
  <si>
    <t>East Hidalgo Detention Center</t>
  </si>
  <si>
    <t>EHDLGTX</t>
  </si>
  <si>
    <t>EASTERN REGIONAL JAIL</t>
  </si>
  <si>
    <t>Eastern Regional Jail</t>
  </si>
  <si>
    <t>WVEASTR</t>
  </si>
  <si>
    <t>NC</t>
  </si>
  <si>
    <t>EDEN DETENTION CTR</t>
  </si>
  <si>
    <t>Eden Detention Center</t>
  </si>
  <si>
    <t>EDNDCTX</t>
  </si>
  <si>
    <t>ND</t>
  </si>
  <si>
    <t>EDINBURG POLICE DEPT.</t>
  </si>
  <si>
    <t>Edinburg Police Department</t>
  </si>
  <si>
    <t>EDNBGTX</t>
  </si>
  <si>
    <t>EL CENTRO REGIONAL MED CTR</t>
  </si>
  <si>
    <t>El Centro Regional Medical Center</t>
  </si>
  <si>
    <t>ECRMCCA</t>
  </si>
  <si>
    <t>OH</t>
  </si>
  <si>
    <t>EL PASO BEHAVIORAL HEALTH SYSTEM</t>
  </si>
  <si>
    <t>El Paso Behavioral Health System</t>
  </si>
  <si>
    <t>EPBHSTX</t>
  </si>
  <si>
    <t>OK</t>
  </si>
  <si>
    <t>EL PASO COUNTY DETENTION FACILITY</t>
  </si>
  <si>
    <t>El Paso County Detention Facility</t>
  </si>
  <si>
    <t>EPCDFTX</t>
  </si>
  <si>
    <t>OR</t>
  </si>
  <si>
    <t>EL PASO COUNTY JAIL (TX)</t>
  </si>
  <si>
    <t>El Paso County Jail (Tx)</t>
  </si>
  <si>
    <t>ELPCOTX</t>
  </si>
  <si>
    <t>EL PASO LTAC HOSPITAL</t>
  </si>
  <si>
    <t>El Paso Long-Term Acute Care Hospital</t>
  </si>
  <si>
    <t>EPLTATX</t>
  </si>
  <si>
    <t>PA</t>
  </si>
  <si>
    <t>EL PASO SOFT SIDED FACILITY</t>
  </si>
  <si>
    <t>El Paso Soft Sided Facility</t>
  </si>
  <si>
    <t>EPSSFTX</t>
  </si>
  <si>
    <t>PR</t>
  </si>
  <si>
    <t>EL PASO SPC</t>
  </si>
  <si>
    <t>El Paso Service Processing Center</t>
  </si>
  <si>
    <t>EPC</t>
  </si>
  <si>
    <t>U.S. Marshals Western District of Louisiana</t>
  </si>
  <si>
    <t>RI</t>
  </si>
  <si>
    <t>EL VALLE DETENTION FACILITY</t>
  </si>
  <si>
    <t>El Valle Detention Facility</t>
  </si>
  <si>
    <t>ELVDFTX</t>
  </si>
  <si>
    <t>ELIZABETH CONTRACT D.F.</t>
  </si>
  <si>
    <t>ELZICDF</t>
  </si>
  <si>
    <t>SD</t>
  </si>
  <si>
    <t>ELMORE COUNTY JAIL</t>
  </si>
  <si>
    <t>Elmore County Jail</t>
  </si>
  <si>
    <t>ELMORID</t>
  </si>
  <si>
    <t>TN</t>
  </si>
  <si>
    <t>ELOY FED CTR FACILITY (CORE CIVIC)</t>
  </si>
  <si>
    <t>Eloy Fed Center Facility (Corrections Corporation of America)</t>
  </si>
  <si>
    <t>EAZ</t>
  </si>
  <si>
    <t>Eloy</t>
  </si>
  <si>
    <t>ERIE COUNTY JAIL, PA</t>
  </si>
  <si>
    <t>Erie County Jail, Pa</t>
  </si>
  <si>
    <t>ERICOPA</t>
  </si>
  <si>
    <t>Erie</t>
  </si>
  <si>
    <t>ERO EL PASO CAMP EAST MONTANA</t>
  </si>
  <si>
    <t>E.R.O. El Paso Camp East Montana</t>
  </si>
  <si>
    <t>EROFCB</t>
  </si>
  <si>
    <t>VT</t>
  </si>
  <si>
    <t>ERO HOLD ROOM (SPRINGFIELD MO)</t>
  </si>
  <si>
    <t>E.R.O. Hold Room (Springfield Mo)</t>
  </si>
  <si>
    <t>SPGHOLD</t>
  </si>
  <si>
    <t>ERO HONOLULU SUB-OFFICE HOLD ROOM</t>
  </si>
  <si>
    <t>E.R.O. Honolulu Sub-Office Hold Room</t>
  </si>
  <si>
    <t>HHWHOLD</t>
  </si>
  <si>
    <t>ESSEX COUNTY JAIL</t>
  </si>
  <si>
    <t>Essex County Jail</t>
  </si>
  <si>
    <t>ESSEXNJ</t>
  </si>
  <si>
    <t>Washington</t>
  </si>
  <si>
    <t>WA</t>
  </si>
  <si>
    <t>ETOWAH COUNTY JAIL (AL)</t>
  </si>
  <si>
    <t>Etowah County Jail (Al)</t>
  </si>
  <si>
    <t>ETOWAAL</t>
  </si>
  <si>
    <t>WV</t>
  </si>
  <si>
    <t>ETOWAH ERO HOLD ROOM</t>
  </si>
  <si>
    <t>Etowah E.R.O. Hold Room</t>
  </si>
  <si>
    <t>ETWHOLD</t>
  </si>
  <si>
    <t>EUGENE HOLDROOM</t>
  </si>
  <si>
    <t>Eugene Hold Room</t>
  </si>
  <si>
    <t>EUGHOLD</t>
  </si>
  <si>
    <t>WY</t>
  </si>
  <si>
    <t>FAIRBANKS CORR CTR</t>
  </si>
  <si>
    <t>Fairbanks Correctional Center</t>
  </si>
  <si>
    <t>AKFAIRB</t>
  </si>
  <si>
    <t>FARMVILLE DETENTION CENTER</t>
  </si>
  <si>
    <t>Farmville Detention Center</t>
  </si>
  <si>
    <t>FRMVLVA</t>
  </si>
  <si>
    <t>FAYETTE COUNTY DETENTION CENTER</t>
  </si>
  <si>
    <t>Fayette County Detention Center</t>
  </si>
  <si>
    <t>FAYETKY</t>
  </si>
  <si>
    <t>FAYETTEVILLE HOLD ROOM</t>
  </si>
  <si>
    <t>Fayetteville Hold Room</t>
  </si>
  <si>
    <t>FAYHOLD</t>
  </si>
  <si>
    <t>FCI BERLIN</t>
  </si>
  <si>
    <t>Federal Correctional Institution Berlin</t>
  </si>
  <si>
    <t>BOPBER</t>
  </si>
  <si>
    <t>FCI VICTORVILLE</t>
  </si>
  <si>
    <t>Federal Correctional Institution Victorville</t>
  </si>
  <si>
    <t>BOPVIM</t>
  </si>
  <si>
    <t>FDC PHILADELPHIA</t>
  </si>
  <si>
    <t>Federal Detention Center Philadelphia</t>
  </si>
  <si>
    <t>BOPPHL</t>
  </si>
  <si>
    <t>FERNDALE HOLD ROOM</t>
  </si>
  <si>
    <t>Ferndale Hold Room</t>
  </si>
  <si>
    <t>FDLHOLD</t>
  </si>
  <si>
    <t>FINNEY COUNTY JAIL</t>
  </si>
  <si>
    <t>Finney County Jail</t>
  </si>
  <si>
    <t>FINNEKS</t>
  </si>
  <si>
    <t>FISHKILL C.F. BEACON NY</t>
  </si>
  <si>
    <t>Fishkill Correctional Facility Beacon Ny</t>
  </si>
  <si>
    <t>NYFISHC</t>
  </si>
  <si>
    <t>FLAGLER COUNTY JAIL</t>
  </si>
  <si>
    <t>Flagler County Jail</t>
  </si>
  <si>
    <t>FLGLRFL</t>
  </si>
  <si>
    <t>FLORENCE HOSPITAL</t>
  </si>
  <si>
    <t>Florence Hospital</t>
  </si>
  <si>
    <t>FLORHAZ</t>
  </si>
  <si>
    <t>Florence</t>
  </si>
  <si>
    <t>FLORENCE SPC</t>
  </si>
  <si>
    <t>Florence Service Processing Center</t>
  </si>
  <si>
    <t>FLO</t>
  </si>
  <si>
    <t>FLORENCE STAGING FACILITY</t>
  </si>
  <si>
    <t>Florence Staging Facility</t>
  </si>
  <si>
    <t>FSF</t>
  </si>
  <si>
    <t>FLORIDA SOFT-SIDED FACILITY-SOUTH</t>
  </si>
  <si>
    <t>Florida Soft-Sided Facility-South</t>
  </si>
  <si>
    <t>FLDSSFS</t>
  </si>
  <si>
    <t>FLOYD COUNTY JAIL</t>
  </si>
  <si>
    <t>Floyd County Jail</t>
  </si>
  <si>
    <t>FLOYDGA</t>
  </si>
  <si>
    <t>FOLKSTON ANNEX IPC</t>
  </si>
  <si>
    <t>Folkston Annex I.C.E. Processing Center</t>
  </si>
  <si>
    <t>FIPCAGA</t>
  </si>
  <si>
    <t>FOLKSTON D RAY ICE PROCESSING CTR</t>
  </si>
  <si>
    <t>Folkston D Ray I.C.E. Processing Center</t>
  </si>
  <si>
    <t>FIPCDGA</t>
  </si>
  <si>
    <t>FOLKSTON MAIN IPC</t>
  </si>
  <si>
    <t>Folkston Main I.C.E. Processing Center</t>
  </si>
  <si>
    <t>FIPCMGA</t>
  </si>
  <si>
    <t>FOND DU LAC COUNTY SHERIFF/JAIL</t>
  </si>
  <si>
    <t>Fond Du Lac County Sheriff/Jail</t>
  </si>
  <si>
    <t>FNDDUWI</t>
  </si>
  <si>
    <t>Fond Du Lac</t>
  </si>
  <si>
    <t>FORSYTH COUNTY JAIL</t>
  </si>
  <si>
    <t>Forsyth County Jail</t>
  </si>
  <si>
    <t>FORSYNC</t>
  </si>
  <si>
    <t>FORT MYERS ERO HOLDROOM</t>
  </si>
  <si>
    <t>Fort Myers E.R.O. Hold Room</t>
  </si>
  <si>
    <t>FMYHOLD</t>
  </si>
  <si>
    <t>FORT SMITH HOLDROOM</t>
  </si>
  <si>
    <t>Fort Smith Hold Room</t>
  </si>
  <si>
    <t>FSAHOLD</t>
  </si>
  <si>
    <t>FRANKLIN COUNTY JAIL</t>
  </si>
  <si>
    <t>Franklin County Jail</t>
  </si>
  <si>
    <t>FRANKPA</t>
  </si>
  <si>
    <t>FRANKLIN HOUSE OF CORRECTIONS</t>
  </si>
  <si>
    <t>Franklin House of Corrections</t>
  </si>
  <si>
    <t>GREENMA</t>
  </si>
  <si>
    <t>FREDERICK COUNTY DET. CEN</t>
  </si>
  <si>
    <t>Frederick County Detention Center</t>
  </si>
  <si>
    <t>FREDEMD</t>
  </si>
  <si>
    <t>Frederick</t>
  </si>
  <si>
    <t>FREDERICK HOLDROOM</t>
  </si>
  <si>
    <t>Frederick Hold Room</t>
  </si>
  <si>
    <t>FRDHOLD</t>
  </si>
  <si>
    <t>FREEBORN COUNTY JAIL, MN</t>
  </si>
  <si>
    <t>Freeborn County Jail, Mn</t>
  </si>
  <si>
    <t>FREEBMN</t>
  </si>
  <si>
    <t>Freeborn</t>
  </si>
  <si>
    <t>FRESNO HOLDROOM</t>
  </si>
  <si>
    <t>Fresno Hold Room</t>
  </si>
  <si>
    <t>FREHOLD</t>
  </si>
  <si>
    <t>FRIO REGIONAL HOSPITAL</t>
  </si>
  <si>
    <t>Frio Regional Hospital</t>
  </si>
  <si>
    <t>FRIRHTX</t>
  </si>
  <si>
    <t>FT LAUDERDALE BEHAVOR HLTH CTR</t>
  </si>
  <si>
    <t>Ft Lauderdale Behavor Health Center</t>
  </si>
  <si>
    <t>FLBHCFL</t>
  </si>
  <si>
    <t>GALLATIN COUNTY JAIL</t>
  </si>
  <si>
    <t>Gallatin County Jail</t>
  </si>
  <si>
    <t>GALLAMT</t>
  </si>
  <si>
    <t>GARDEN CITY PROCESSING @ FINNEY CO</t>
  </si>
  <si>
    <t>Garden City Processing at Finney Co</t>
  </si>
  <si>
    <t>GCPFCKS</t>
  </si>
  <si>
    <t>GARVIN COUNTY JAIL</t>
  </si>
  <si>
    <t>Garvin County Jail</t>
  </si>
  <si>
    <t>GARVIOK</t>
  </si>
  <si>
    <t>GASTON COUNTY JAIL</t>
  </si>
  <si>
    <t>Gaston County Jail</t>
  </si>
  <si>
    <t>GASTNNC</t>
  </si>
  <si>
    <t>GEAUGA COUNTY JAIL (GEAUGOH)</t>
  </si>
  <si>
    <t>Geauga County Jail (Geaugoh)</t>
  </si>
  <si>
    <t>GEAUGOH</t>
  </si>
  <si>
    <t>GLADES COUNTY DETENTION CENTER</t>
  </si>
  <si>
    <t>Glades County Detention Center</t>
  </si>
  <si>
    <t>GLADEFL</t>
  </si>
  <si>
    <t>GLENWOOD SPRINGS HOLDROOM</t>
  </si>
  <si>
    <t>Glenwood Springs Hold Room</t>
  </si>
  <si>
    <t>GSCHOLD</t>
  </si>
  <si>
    <t>GOLDEN STATE ANNEX</t>
  </si>
  <si>
    <t>Golden State Annex</t>
  </si>
  <si>
    <t>GLDSACA</t>
  </si>
  <si>
    <t>GOODING COUNTY JAIL</t>
  </si>
  <si>
    <t>Gooding County Jail</t>
  </si>
  <si>
    <t>GOODCID</t>
  </si>
  <si>
    <t>Gooding</t>
  </si>
  <si>
    <t>GOOSE CREEK CORRECTIONAL CENTER</t>
  </si>
  <si>
    <t>Goose Creek Correctional Center</t>
  </si>
  <si>
    <t>AKGSCCC</t>
  </si>
  <si>
    <t>GRADY MEMORIAL HOSPITAL</t>
  </si>
  <si>
    <t>Grady Memorial Hospital</t>
  </si>
  <si>
    <t>GMHATGA</t>
  </si>
  <si>
    <t>GRAND FORKS COUNTY CORREC</t>
  </si>
  <si>
    <t>Grand Forks County Correc</t>
  </si>
  <si>
    <t>GFCORND</t>
  </si>
  <si>
    <t>GRAND FORKS HOLD ROOM</t>
  </si>
  <si>
    <t>Grand Forks Hold Room</t>
  </si>
  <si>
    <t>GRFHOLD</t>
  </si>
  <si>
    <t>GRAND ISLAND HOLD ROOM</t>
  </si>
  <si>
    <t>Grand Island Hold Room</t>
  </si>
  <si>
    <t>GRIHOLD</t>
  </si>
  <si>
    <t>GRAND JUNCTION HOLDROOM</t>
  </si>
  <si>
    <t>Grand Junction Hold Room</t>
  </si>
  <si>
    <t>GJCHOLD</t>
  </si>
  <si>
    <t>GRAND RAPIDS HOLDROOM</t>
  </si>
  <si>
    <t>Grand Rapids Hold Room</t>
  </si>
  <si>
    <t>GRMHOLD</t>
  </si>
  <si>
    <t>GRAYSON COUNTY DETENTION CENTER</t>
  </si>
  <si>
    <t>Grayson County Detention Center</t>
  </si>
  <si>
    <t>GRAYSKY</t>
  </si>
  <si>
    <t>GREAT MEADOW C.F.</t>
  </si>
  <si>
    <t>Great Meadow Correctional Facility</t>
  </si>
  <si>
    <t>NYGREAC</t>
  </si>
  <si>
    <t>GREENE COUNTY JAIL</t>
  </si>
  <si>
    <t>Greene County Jail</t>
  </si>
  <si>
    <t>GREENMO</t>
  </si>
  <si>
    <t>GREER HOLD ROOM</t>
  </si>
  <si>
    <t>Greer Hold Room</t>
  </si>
  <si>
    <t>GRRHOLD</t>
  </si>
  <si>
    <t>GROVELAND C.F. SONYEA</t>
  </si>
  <si>
    <t>Groveland Correctional Facility Sonyea</t>
  </si>
  <si>
    <t>NYGROVC</t>
  </si>
  <si>
    <t>GUAM ERO HOLD ROOM</t>
  </si>
  <si>
    <t>Guam E.R.O. Hold Room</t>
  </si>
  <si>
    <t>AGAHOLD</t>
  </si>
  <si>
    <t>GUAYNABO MDC (SAN JUAN)</t>
  </si>
  <si>
    <t>BOPGUA</t>
  </si>
  <si>
    <t>HAILE DET. CENTER</t>
  </si>
  <si>
    <t>Haile Detention Center</t>
  </si>
  <si>
    <t>HAILEID</t>
  </si>
  <si>
    <t>HALL COUNTY SHERIFF</t>
  </si>
  <si>
    <t>Hall County Sheriff</t>
  </si>
  <si>
    <t>HASHENE</t>
  </si>
  <si>
    <t>HAMILTON CO. JAIL (TENN)</t>
  </si>
  <si>
    <t>Hamilton County Jail (Tenn)</t>
  </si>
  <si>
    <t>HAMILTN</t>
  </si>
  <si>
    <t>HARLINGEN HOLD ROOM</t>
  </si>
  <si>
    <t>Harlingen Hold Room</t>
  </si>
  <si>
    <t>HLGHOLD</t>
  </si>
  <si>
    <t>HARLINGEN MEDICAL CENTER</t>
  </si>
  <si>
    <t>Harlingen Medical Center</t>
  </si>
  <si>
    <t>HMCHOTX</t>
  </si>
  <si>
    <t>HARLINGEN POLICE DEPT.</t>
  </si>
  <si>
    <t>Harlingen Police Department</t>
  </si>
  <si>
    <t>HRLGNTX</t>
  </si>
  <si>
    <t>Harlingen</t>
  </si>
  <si>
    <t>HARRIS COUNTY PSYCHIATRIC CENTER</t>
  </si>
  <si>
    <t>Harris County Psychiatric Center</t>
  </si>
  <si>
    <t>HCPSYTX</t>
  </si>
  <si>
    <t>HARRISON DETENTION CENTER</t>
  </si>
  <si>
    <t>Harrison Detention Center</t>
  </si>
  <si>
    <t>HARRIMS</t>
  </si>
  <si>
    <t>HARRISONBURG HOLD ROOM</t>
  </si>
  <si>
    <t>Harrisonburg Hold Room</t>
  </si>
  <si>
    <t>HBGHOLD</t>
  </si>
  <si>
    <t>HARTFORD CORR CENTER</t>
  </si>
  <si>
    <t>Hartford Correctional Center</t>
  </si>
  <si>
    <t>HARFOCT</t>
  </si>
  <si>
    <t>HARTFORD OFFICE</t>
  </si>
  <si>
    <t>Hartford Office</t>
  </si>
  <si>
    <t>HARHOLD</t>
  </si>
  <si>
    <t>HCA FLORIDA KENDALL HOSPITAL</t>
  </si>
  <si>
    <t>Hca Florida Kendall Hospital</t>
  </si>
  <si>
    <t>CKHOSFL</t>
  </si>
  <si>
    <t>Miami</t>
  </si>
  <si>
    <t>HCA HOUSTON HC CONROE</t>
  </si>
  <si>
    <t>Hca Houston Hc Conroe</t>
  </si>
  <si>
    <t>HCAHCTX</t>
  </si>
  <si>
    <t>HEL DISTRICT CUSTODY</t>
  </si>
  <si>
    <t>Hel District Custody</t>
  </si>
  <si>
    <t>HELHOLD</t>
  </si>
  <si>
    <t>HENDERSON COUNTY DET. FAC.</t>
  </si>
  <si>
    <t>Henderson County Detention Facility</t>
  </si>
  <si>
    <t>HENDENC</t>
  </si>
  <si>
    <t>Henderson</t>
  </si>
  <si>
    <t>HENDERSON DETENTION</t>
  </si>
  <si>
    <t>Henderson Detention</t>
  </si>
  <si>
    <t>HENDENV</t>
  </si>
  <si>
    <t>HENDERSON HOSPITAL</t>
  </si>
  <si>
    <t>Henderson Hospital</t>
  </si>
  <si>
    <t>HDHSPNV</t>
  </si>
  <si>
    <t>HENDERSONVILLE HOLD ROOM</t>
  </si>
  <si>
    <t>Hendersonville Hold Room</t>
  </si>
  <si>
    <t>HENHOLD</t>
  </si>
  <si>
    <t>HENDRICK MEDICAL CENTER</t>
  </si>
  <si>
    <t>Hendrick Medical Center</t>
  </si>
  <si>
    <t>HNDMCTX</t>
  </si>
  <si>
    <t>HENDRY COUNTY JAIL</t>
  </si>
  <si>
    <t>Hendry County Jail</t>
  </si>
  <si>
    <t>HENDRFL</t>
  </si>
  <si>
    <t>HENNEPIN COUNTY MED CTR</t>
  </si>
  <si>
    <t>Hennepin County Medical Center</t>
  </si>
  <si>
    <t>HCMCMMN</t>
  </si>
  <si>
    <t>HENRICO COUNTY JAIL</t>
  </si>
  <si>
    <t>Henrico County Jail</t>
  </si>
  <si>
    <t>HENRIVA</t>
  </si>
  <si>
    <t>HENRY FORD HOSPITAL</t>
  </si>
  <si>
    <t>Henry Ford Hospital</t>
  </si>
  <si>
    <t>HNYHOMI</t>
  </si>
  <si>
    <t>HIDALGO COUNTY SHERIFF'S JAIL</t>
  </si>
  <si>
    <t>HIDALTX</t>
  </si>
  <si>
    <t>Hidalgo</t>
  </si>
  <si>
    <t>HIGHLAND MTN COR CTR</t>
  </si>
  <si>
    <t>Highland Mtn Correctional Center</t>
  </si>
  <si>
    <t>AKHIGHL</t>
  </si>
  <si>
    <t>HILLSBOROUGH COUNTY JAIL</t>
  </si>
  <si>
    <t>Hillsborough County Jail</t>
  </si>
  <si>
    <t>HICOJFL</t>
  </si>
  <si>
    <t>HONOLULU FEDERAL DETENTION CENTER</t>
  </si>
  <si>
    <t>Honolulu Federal Detention Center</t>
  </si>
  <si>
    <t>BOPHON</t>
  </si>
  <si>
    <t>HOPKINS COUNTY JAIL</t>
  </si>
  <si>
    <t>Hopkins County Jail</t>
  </si>
  <si>
    <t>HPKNSKY</t>
  </si>
  <si>
    <t>HOUSTON CONTRACT DET.FAC.</t>
  </si>
  <si>
    <t>Houston Contract Detention Facility</t>
  </si>
  <si>
    <t>HOUICDF</t>
  </si>
  <si>
    <t>HOUSTON FO HOLDROOM</t>
  </si>
  <si>
    <t>Houston Fo Hold Room</t>
  </si>
  <si>
    <t>HOUHOLD</t>
  </si>
  <si>
    <t>HUDSON COUNTY JAIL</t>
  </si>
  <si>
    <t>Hudson County Jail</t>
  </si>
  <si>
    <t>HUDSONJ</t>
  </si>
  <si>
    <t>IAH SECURE ADULT DET. FACILITY</t>
  </si>
  <si>
    <t>POLKCTX</t>
  </si>
  <si>
    <t>IDAHO FALLS HOLD ROOM</t>
  </si>
  <si>
    <t>Idaho Falls Hold Room</t>
  </si>
  <si>
    <t>IFIHOLD</t>
  </si>
  <si>
    <t>IMPERIAL REGIONAL ADULT DET FAC</t>
  </si>
  <si>
    <t>Imperial Regional Adult Detention Facility</t>
  </si>
  <si>
    <t>IRADFCA</t>
  </si>
  <si>
    <t>Imperial</t>
  </si>
  <si>
    <t>IMPERIAL SUB OFFICE HOLD ROOM</t>
  </si>
  <si>
    <t>Imperial Sub Office Hold Room</t>
  </si>
  <si>
    <t>IMPHOLD</t>
  </si>
  <si>
    <t>INDIANAPOLIS HOLD ROOM</t>
  </si>
  <si>
    <t>Indianapolis Hold Room</t>
  </si>
  <si>
    <t>INPHOLD</t>
  </si>
  <si>
    <t>INTEGRIS HEALTH PONCA CITY HOSPITA</t>
  </si>
  <si>
    <t>Integris Health Ponca City Hospita</t>
  </si>
  <si>
    <t>INTPOOK</t>
  </si>
  <si>
    <t>JACK HARWELL DETENTION CENTER</t>
  </si>
  <si>
    <t>Jack Harwell Detention Center</t>
  </si>
  <si>
    <t>JHRWLTX</t>
  </si>
  <si>
    <t>JACKSON MEMORIAL HOSPITAL</t>
  </si>
  <si>
    <t>Jackson Memorial Hospital</t>
  </si>
  <si>
    <t>JMHOSFL</t>
  </si>
  <si>
    <t>JACKSON MS HOLD ROOM</t>
  </si>
  <si>
    <t>Jackson Ms Hold Room</t>
  </si>
  <si>
    <t>JAKHOLD</t>
  </si>
  <si>
    <t>JACKSON PARISH CORRECTIONAL CENTER</t>
  </si>
  <si>
    <t>Jackson Parish Correctional Center</t>
  </si>
  <si>
    <t>JKPCCLA</t>
  </si>
  <si>
    <t>Jackson</t>
  </si>
  <si>
    <t>JACKSONVILLE SUB-OFFICE</t>
  </si>
  <si>
    <t>Jacksonville Sub-Office</t>
  </si>
  <si>
    <t>JAXHOLD</t>
  </si>
  <si>
    <t>Jamaica Hospital Med Ctr</t>
  </si>
  <si>
    <t>Jamaica Hospital Medical Center</t>
  </si>
  <si>
    <t>JHMCJNY</t>
  </si>
  <si>
    <t>JEFFERSON COUNTY JAIL</t>
  </si>
  <si>
    <t>Jefferson County Jail</t>
  </si>
  <si>
    <t>JEFFEID</t>
  </si>
  <si>
    <t>JEFFEIL</t>
  </si>
  <si>
    <t>Chicago</t>
  </si>
  <si>
    <t>JFK INTERNATIONAL AP - T7</t>
  </si>
  <si>
    <t>JFKTSNY</t>
  </si>
  <si>
    <t>JOE CORLEY PROCESSING CTR</t>
  </si>
  <si>
    <t>Joe Corley Processing Center</t>
  </si>
  <si>
    <t>JCRLYTX</t>
  </si>
  <si>
    <t>JOHN PETER SMITH HOSPITAL</t>
  </si>
  <si>
    <t>John Peter Smith Hospital</t>
  </si>
  <si>
    <t>JOPSHTX</t>
  </si>
  <si>
    <t>KANDIYOHI CO. JAIL</t>
  </si>
  <si>
    <t>Kandiyohi County Jail</t>
  </si>
  <si>
    <t>KANDIMN</t>
  </si>
  <si>
    <t>Kandiyohi</t>
  </si>
  <si>
    <t>KANSAS CITY HOLDROOM</t>
  </si>
  <si>
    <t>Kansas City Hold Room</t>
  </si>
  <si>
    <t>KANHOLD</t>
  </si>
  <si>
    <t>KARNES COUNTY CIVIL DET. FACILITY</t>
  </si>
  <si>
    <t>Karnes County Civil Detention Facility</t>
  </si>
  <si>
    <t>KCCDCTX</t>
  </si>
  <si>
    <t>KARNES CTY CORR CTR</t>
  </si>
  <si>
    <t>KARNETX</t>
  </si>
  <si>
    <t>KENT HOSPITAL</t>
  </si>
  <si>
    <t>Kent Hospital</t>
  </si>
  <si>
    <t>KENTHRI</t>
  </si>
  <si>
    <t>KETCHIKAN REGIONAL CC</t>
  </si>
  <si>
    <t>Ketchikan Regional Cc</t>
  </si>
  <si>
    <t>AKKETCH</t>
  </si>
  <si>
    <t>KINNEY COUNTY JAIL</t>
  </si>
  <si>
    <t>Kinney County Jail</t>
  </si>
  <si>
    <t>KINNETX</t>
  </si>
  <si>
    <t>KNOX COUNTY DETENTION FACILITY</t>
  </si>
  <si>
    <t>Knox County Detention Facility</t>
  </si>
  <si>
    <t>KNXDFTN</t>
  </si>
  <si>
    <t>Knoxville</t>
  </si>
  <si>
    <t>KNOXVILLE HOLD ROOM</t>
  </si>
  <si>
    <t>Knoxville Hold Room</t>
  </si>
  <si>
    <t>KNXHOLD</t>
  </si>
  <si>
    <t>KODIAK CITY JAIL</t>
  </si>
  <si>
    <t>Kodiak City Jail</t>
  </si>
  <si>
    <t>KODIAAK</t>
  </si>
  <si>
    <t>KROME HOLD ROOM</t>
  </si>
  <si>
    <t>Krome Hold Room</t>
  </si>
  <si>
    <t>KROHOLD</t>
  </si>
  <si>
    <t>KROME NORTH SPC</t>
  </si>
  <si>
    <t>Krome North Service Processing Center</t>
  </si>
  <si>
    <t>KRO</t>
  </si>
  <si>
    <t>KROME/MIAMI HUB</t>
  </si>
  <si>
    <t>Krome/Miami Hub</t>
  </si>
  <si>
    <t>KRHUBFL</t>
  </si>
  <si>
    <t>LA PALMA CORR CTR APSO</t>
  </si>
  <si>
    <t>La Palma Correctional Center Apso</t>
  </si>
  <si>
    <t>LPAPSAZ</t>
  </si>
  <si>
    <t>LA PAZ COUNTY ADULT DET. FAC.</t>
  </si>
  <si>
    <t>La Paz County Adult Detention Facility</t>
  </si>
  <si>
    <t>LAPAZAZ</t>
  </si>
  <si>
    <t>LA PAZ REGIONAL HOSPITAL</t>
  </si>
  <si>
    <t>La Paz Regional Hospital</t>
  </si>
  <si>
    <t>LPZRHAZ</t>
  </si>
  <si>
    <t>LACKAWANA CNTY JAIL, PA</t>
  </si>
  <si>
    <t>Lackawana County Jail, Pa</t>
  </si>
  <si>
    <t>LACKAPA</t>
  </si>
  <si>
    <t>LAHEY HOSPITAL &amp; MED CTR</t>
  </si>
  <si>
    <t>Lahey Hospital  and  Medical Center</t>
  </si>
  <si>
    <t>LHMCBMA</t>
  </si>
  <si>
    <t>LAKE COUNTY JAIL</t>
  </si>
  <si>
    <t>Lake County Jail</t>
  </si>
  <si>
    <t>LAKCOFL</t>
  </si>
  <si>
    <t>LAKESIDE MEDICAL CENTER</t>
  </si>
  <si>
    <t>Lakeside Medical Center</t>
  </si>
  <si>
    <t>LAKMCFL</t>
  </si>
  <si>
    <t>LARAMIE COUNTY JAIL</t>
  </si>
  <si>
    <t>Laramie County Jail</t>
  </si>
  <si>
    <t>LARCOWY</t>
  </si>
  <si>
    <t>LAREDO DETENTION CENTER HOLD ROOM</t>
  </si>
  <si>
    <t>Laredo Detention Center Hold Room</t>
  </si>
  <si>
    <t>LRDHOLD</t>
  </si>
  <si>
    <t>LAREDO MEDICAL CENTER</t>
  </si>
  <si>
    <t>Laredo Medical Center</t>
  </si>
  <si>
    <t>LRDMCTX</t>
  </si>
  <si>
    <t>LAREDO PROCESSING CENTER</t>
  </si>
  <si>
    <t>Laredo Processing Center</t>
  </si>
  <si>
    <t>LRDICDF</t>
  </si>
  <si>
    <t>LARKIN BEHAVIORAL HEALTH SVCS</t>
  </si>
  <si>
    <t>Larkin Behavioral Health Services</t>
  </si>
  <si>
    <t>LRKBHFL</t>
  </si>
  <si>
    <t>LARKIN HOSPITAL</t>
  </si>
  <si>
    <t>Larkin Hospital</t>
  </si>
  <si>
    <t>LRKNHFL</t>
  </si>
  <si>
    <t>LAS CRUCES HOLD ROOM</t>
  </si>
  <si>
    <t>Las Cruces Hold Room</t>
  </si>
  <si>
    <t>LASHOLD</t>
  </si>
  <si>
    <t>LAS VEGAS HOLD ROOM</t>
  </si>
  <si>
    <t>Las Vegas Hold Room</t>
  </si>
  <si>
    <t>LVGHOLD</t>
  </si>
  <si>
    <t>LAUREL COUNTY CORRECTIONS</t>
  </si>
  <si>
    <t>Laurel County Corrections</t>
  </si>
  <si>
    <t>LARELKY</t>
  </si>
  <si>
    <t>LEAVENWORTH USP</t>
  </si>
  <si>
    <t>BOPLVN</t>
  </si>
  <si>
    <t>LEMON CREEK, JUNEAU,AK</t>
  </si>
  <si>
    <t>Lemon Creek, Juneau,Ak</t>
  </si>
  <si>
    <t>AKLEMON</t>
  </si>
  <si>
    <t>LEVY COUNTY JAIL</t>
  </si>
  <si>
    <t>Levy County Jail</t>
  </si>
  <si>
    <t>LEVYCFL</t>
  </si>
  <si>
    <t>LEXINGTON COUNTY JAIL</t>
  </si>
  <si>
    <t>Lexington County Jail</t>
  </si>
  <si>
    <t>LEXINSC</t>
  </si>
  <si>
    <t>Lexington</t>
  </si>
  <si>
    <t>LEXINGTON PROCESSING @ FAYETTE CO</t>
  </si>
  <si>
    <t>Lexington Processing at Fayette Co</t>
  </si>
  <si>
    <t>LEXFCKY</t>
  </si>
  <si>
    <t>LIMESTON MEDICAL CENTER</t>
  </si>
  <si>
    <t>Limeston Medical Center</t>
  </si>
  <si>
    <t>LIMMCTX</t>
  </si>
  <si>
    <t>LIMESTONE DET CENTER</t>
  </si>
  <si>
    <t>Limestone Detention Center</t>
  </si>
  <si>
    <t>LIMESTX</t>
  </si>
  <si>
    <t>LINCOLN COUNTY JAIL</t>
  </si>
  <si>
    <t>Lincoln County Jail</t>
  </si>
  <si>
    <t>LINCONE</t>
  </si>
  <si>
    <t>Lincoln</t>
  </si>
  <si>
    <t>LINCOLN COUNTY SHERIFF'S</t>
  </si>
  <si>
    <t>LINCOMO</t>
  </si>
  <si>
    <t>LINN COUNTY JAIL</t>
  </si>
  <si>
    <t>Linn County Jail</t>
  </si>
  <si>
    <t>LINNJIA</t>
  </si>
  <si>
    <t>LIRS - LFSRM FORT COLLINS LTFC CO</t>
  </si>
  <si>
    <t>Lirs - Lutheran Family Services Rocky Mountains Fort Collins Long Term Foster Care Co</t>
  </si>
  <si>
    <t>LIRSFCO</t>
  </si>
  <si>
    <t>LITTLE ROCK HOLD ROOM</t>
  </si>
  <si>
    <t>Little Rock Hold Room</t>
  </si>
  <si>
    <t>LRAHOLD</t>
  </si>
  <si>
    <t>LOGAN COUNTY JAIL</t>
  </si>
  <si>
    <t>Logan County Jail</t>
  </si>
  <si>
    <t>LOGANOK</t>
  </si>
  <si>
    <t>LOMPOC FCI</t>
  </si>
  <si>
    <t>Lompoc Federal Correctional Institution</t>
  </si>
  <si>
    <t>BOPLOF</t>
  </si>
  <si>
    <t>LOMPOC USP</t>
  </si>
  <si>
    <t>BOPLOM</t>
  </si>
  <si>
    <t>LORTON, VA HOLD ROOM</t>
  </si>
  <si>
    <t>Lorton, Va Hold Room</t>
  </si>
  <si>
    <t>LTVHOLD</t>
  </si>
  <si>
    <t>LOS ANGELES COUNTY JAIL-TWIN TOWER</t>
  </si>
  <si>
    <t>Los Angeles County Jail-Twin Tower</t>
  </si>
  <si>
    <t>LOSCJCA</t>
  </si>
  <si>
    <t>LOS ANGELES POLICE PD 77TH DIV.</t>
  </si>
  <si>
    <t>Los Angeles Police Pd 77Th Division</t>
  </si>
  <si>
    <t>LPD77CA</t>
  </si>
  <si>
    <t>LOS CUST CASE</t>
  </si>
  <si>
    <t>Los Cust Case</t>
  </si>
  <si>
    <t>LOSHOLD</t>
  </si>
  <si>
    <t>LOS FRESNOS HOLD ROOM</t>
  </si>
  <si>
    <t>Los Fresnos Hold Room</t>
  </si>
  <si>
    <t>LSFHOLD</t>
  </si>
  <si>
    <t>LOUDOUN COUNTY</t>
  </si>
  <si>
    <t>Loudoun County</t>
  </si>
  <si>
    <t>LOUCOVA</t>
  </si>
  <si>
    <t>LOUISIANA ICE PROCESSING CENTER</t>
  </si>
  <si>
    <t>Louisiana I.C.E. Processing Center</t>
  </si>
  <si>
    <t>LICEPLA</t>
  </si>
  <si>
    <t>LOUISVILLE HOLD ROOM</t>
  </si>
  <si>
    <t>Louisville Hold Room</t>
  </si>
  <si>
    <t>LOUHOLD</t>
  </si>
  <si>
    <t>LOYOLA CENTER FOR HEALTH</t>
  </si>
  <si>
    <t>Loyola Center For Health</t>
  </si>
  <si>
    <t>LYOLAIL</t>
  </si>
  <si>
    <t>LUBBOCK COUNTY JAIL</t>
  </si>
  <si>
    <t>Lubbock County Jail</t>
  </si>
  <si>
    <t>LUBBOTX</t>
  </si>
  <si>
    <t>Lubbock</t>
  </si>
  <si>
    <t>LUBBOCK HOLD ROOM</t>
  </si>
  <si>
    <t>Lubbock Hold Room</t>
  </si>
  <si>
    <t>LBKHOLD</t>
  </si>
  <si>
    <t>MADISON CO. JAIL, MS.</t>
  </si>
  <si>
    <t>Madison County Jail, Ms.</t>
  </si>
  <si>
    <t>MADISMS</t>
  </si>
  <si>
    <t>Madison</t>
  </si>
  <si>
    <t>MAHONING COUNTY JAIL</t>
  </si>
  <si>
    <t>Mahoning County Jail</t>
  </si>
  <si>
    <t>MAHONOH</t>
  </si>
  <si>
    <t>MAINE YOUTH CENTER - LONG CREEK</t>
  </si>
  <si>
    <t>Maine Youth Center - Long Creek</t>
  </si>
  <si>
    <t>MEYTHCT</t>
  </si>
  <si>
    <t>MANATEE COUNTY DETENTION-ANNEX</t>
  </si>
  <si>
    <t>Manatee County Detention-Annex</t>
  </si>
  <si>
    <t>MANATFL</t>
  </si>
  <si>
    <t>MANCHESTER HOLDROOM</t>
  </si>
  <si>
    <t>Manchester Hold Room</t>
  </si>
  <si>
    <t>MANHOLD</t>
  </si>
  <si>
    <t>MARCY CORRECTIONAL</t>
  </si>
  <si>
    <t>Marcy Correctional</t>
  </si>
  <si>
    <t>NYMARCC</t>
  </si>
  <si>
    <t>MARIAN REGIONAL MEDICAL CENTER</t>
  </si>
  <si>
    <t>Marian Regional Medical Center</t>
  </si>
  <si>
    <t>MRMCSCA</t>
  </si>
  <si>
    <t>MARICOPA MEDICAL CENTER</t>
  </si>
  <si>
    <t>Maricopa Medical Center</t>
  </si>
  <si>
    <t>MCMEDAZ</t>
  </si>
  <si>
    <t>MARION COUNTY JAIL</t>
  </si>
  <si>
    <t>Marion County Jail</t>
  </si>
  <si>
    <t>MARIOFL</t>
  </si>
  <si>
    <t>MARIOIN</t>
  </si>
  <si>
    <t>Marion</t>
  </si>
  <si>
    <t>MARTIN COUNTY JAIL</t>
  </si>
  <si>
    <t>Martin County Jail</t>
  </si>
  <si>
    <t>MARTIFL</t>
  </si>
  <si>
    <t>MATSU PRETRIAL, PALMER AK</t>
  </si>
  <si>
    <t>Matsu Pre-Trial, Palmer Ak</t>
  </si>
  <si>
    <t>AKMATSU</t>
  </si>
  <si>
    <t>MAVERICK COUNTY JAIL</t>
  </si>
  <si>
    <t>Maverick County Jail</t>
  </si>
  <si>
    <t>MAVERTX</t>
  </si>
  <si>
    <t>MCALLEN HOLD ROOM</t>
  </si>
  <si>
    <t>MCAHOLD</t>
  </si>
  <si>
    <t>MCHENRY COUNTY SHERIFF'S</t>
  </si>
  <si>
    <t>Mchenry County Sheriff'S</t>
  </si>
  <si>
    <t>MCHENIL</t>
  </si>
  <si>
    <t>Mchenry</t>
  </si>
  <si>
    <t>MCLENNAN COUNTY JAIL</t>
  </si>
  <si>
    <t>Mclennan County Jail</t>
  </si>
  <si>
    <t>MCCLETX</t>
  </si>
  <si>
    <t>MCRAE CORRECTIONAL FACILITY, CCA</t>
  </si>
  <si>
    <t>McRae Correctional Facility, Corrections Corporation of America</t>
  </si>
  <si>
    <t>BOPRAE</t>
  </si>
  <si>
    <t>AE</t>
  </si>
  <si>
    <t>MEDFORD SUB-OFFICE</t>
  </si>
  <si>
    <t>Medford Sub-Office</t>
  </si>
  <si>
    <t>MEDHOLD</t>
  </si>
  <si>
    <t>MEMORIAL HERMANN NE HOSP</t>
  </si>
  <si>
    <t>MHNHHTX</t>
  </si>
  <si>
    <t>MEMPHIS HOLD ROOM</t>
  </si>
  <si>
    <t>Memphis Hold Room</t>
  </si>
  <si>
    <t>MEMHOLD</t>
  </si>
  <si>
    <t>MESA VERDE ICE PROCESSING CENTER</t>
  </si>
  <si>
    <t>Mesa Verde I.C.E. Processing Center</t>
  </si>
  <si>
    <t>CACFMES</t>
  </si>
  <si>
    <t>METHODIST HOSPITAL METROPOLITAN</t>
  </si>
  <si>
    <t>Methodist Hospital Metropolitan</t>
  </si>
  <si>
    <t>MHMSATX</t>
  </si>
  <si>
    <t>METHODIST HOSPITAL NORTHEAST</t>
  </si>
  <si>
    <t>Methodist Hospital Northeast</t>
  </si>
  <si>
    <t>MHNSATX</t>
  </si>
  <si>
    <t>METHODIST HOSPITAL STONE OAK</t>
  </si>
  <si>
    <t>Methodist Hospital Stone Oak</t>
  </si>
  <si>
    <t>MHSOSTX</t>
  </si>
  <si>
    <t>METRO DADE JAIL</t>
  </si>
  <si>
    <t>Metro Dade Jail</t>
  </si>
  <si>
    <t>METROFL</t>
  </si>
  <si>
    <t>MIAMI (MIRAMAR) HOLD ROOM</t>
  </si>
  <si>
    <t>Miami (Miramar) Hold Room</t>
  </si>
  <si>
    <t>MIAHOLD</t>
  </si>
  <si>
    <t>MIAMI BORDER PATROL</t>
  </si>
  <si>
    <t>Miami Border Patrol</t>
  </si>
  <si>
    <t>IBPSMIA</t>
  </si>
  <si>
    <t>MIAMI CORRECTIONAL CENTER</t>
  </si>
  <si>
    <t>Miami Correctional Center</t>
  </si>
  <si>
    <t>INMIAMI</t>
  </si>
  <si>
    <t>MIAMI FED.DET.CENTER</t>
  </si>
  <si>
    <t>Miami Federal detention centers</t>
  </si>
  <si>
    <t>BOPMIM</t>
  </si>
  <si>
    <t>MIAMI STAGING FACILITY</t>
  </si>
  <si>
    <t>Miami Staging Facility</t>
  </si>
  <si>
    <t>MSF</t>
  </si>
  <si>
    <t>MIDDLE RIVER REGIONAL JAIL</t>
  </si>
  <si>
    <t>Middle River Regional Jail</t>
  </si>
  <si>
    <t>MRREGVA</t>
  </si>
  <si>
    <t>MIDLAND DETENTION CENTER</t>
  </si>
  <si>
    <t>Midland Detention Center</t>
  </si>
  <si>
    <t>MIDLATX</t>
  </si>
  <si>
    <t>MIDLAND MEMORIAL HOSPITAL</t>
  </si>
  <si>
    <t>Midland Memorial Hospital</t>
  </si>
  <si>
    <t>MIDMHTX</t>
  </si>
  <si>
    <t>Midland</t>
  </si>
  <si>
    <t>MIDLAND, TX ERO HOLDROOM</t>
  </si>
  <si>
    <t>Midland, TX E.R.O. Hold Room</t>
  </si>
  <si>
    <t>MLDHOLD</t>
  </si>
  <si>
    <t>MILLER COUNTY JAIL</t>
  </si>
  <si>
    <t>Miller County Jail</t>
  </si>
  <si>
    <t>MILLRAR</t>
  </si>
  <si>
    <t>MILWAUKEE HOLDROOM</t>
  </si>
  <si>
    <t>Milwaukee Hold Room</t>
  </si>
  <si>
    <t>MILHOLD</t>
  </si>
  <si>
    <t>MINICASSIA DET. CENTER</t>
  </si>
  <si>
    <t>Minicassia Detention Center</t>
  </si>
  <si>
    <t>MINICID</t>
  </si>
  <si>
    <t>MINNEHAHA COUNTY JAIL</t>
  </si>
  <si>
    <t>Minnehaha County Jail</t>
  </si>
  <si>
    <t>MINNESD</t>
  </si>
  <si>
    <t>MOBILE HOLDROOM</t>
  </si>
  <si>
    <t>Mobile Hold Room</t>
  </si>
  <si>
    <t>MOAHOLD</t>
  </si>
  <si>
    <t>MOFFAT COUNTY JAIL</t>
  </si>
  <si>
    <t>Moffat County Jail</t>
  </si>
  <si>
    <t>MOFFECO</t>
  </si>
  <si>
    <t>MONROE COUNTY DETENTION-DORM</t>
  </si>
  <si>
    <t>Monroe County Detention-Dorm</t>
  </si>
  <si>
    <t>MONROMI</t>
  </si>
  <si>
    <t>Monroe</t>
  </si>
  <si>
    <t>MONROE COUNTY JAIL</t>
  </si>
  <si>
    <t>Monroe County Jail</t>
  </si>
  <si>
    <t>MONROFL</t>
  </si>
  <si>
    <t>MONROE COUNTY SHERIFF/JAIL-MAIN</t>
  </si>
  <si>
    <t>Monroe County Sheriff/Jail-Main</t>
  </si>
  <si>
    <t>MNROEMI</t>
  </si>
  <si>
    <t>MONTGOMERY COUNTY JAIL</t>
  </si>
  <si>
    <t>Montgomery County Jail</t>
  </si>
  <si>
    <t>MONTGNY</t>
  </si>
  <si>
    <t>Montgomery</t>
  </si>
  <si>
    <t>MONTGTX</t>
  </si>
  <si>
    <t>MONTGOMERY HOLD RM</t>
  </si>
  <si>
    <t>Montgomery Hold Room</t>
  </si>
  <si>
    <t>MTGHOLD</t>
  </si>
  <si>
    <t>MONTGOMERY PROCESSING CTR</t>
  </si>
  <si>
    <t>Montgomery Processing Center</t>
  </si>
  <si>
    <t>MTGPCTX</t>
  </si>
  <si>
    <t>MORGANTOWN FED.CORR.INST.</t>
  </si>
  <si>
    <t>Morgantown Federal Corrections Institute</t>
  </si>
  <si>
    <t>BOPMRG</t>
  </si>
  <si>
    <t>MOSHANNON VALLEY PROCESSING CENTER</t>
  </si>
  <si>
    <t>Moshannon Valley Processing Center</t>
  </si>
  <si>
    <t>MSVPCPA</t>
  </si>
  <si>
    <t>MOUNT LAUREL HOLD ROOM</t>
  </si>
  <si>
    <t>Mount Laurel Hold Room</t>
  </si>
  <si>
    <t>MLJHOLD</t>
  </si>
  <si>
    <t>MOUNTAIN VISTA MED CTR</t>
  </si>
  <si>
    <t>Mountain Vista Medical Center</t>
  </si>
  <si>
    <t>MVMCMAZ</t>
  </si>
  <si>
    <t>MUSCATINE COUNTY JAIL</t>
  </si>
  <si>
    <t>Muscatine County Jail</t>
  </si>
  <si>
    <t>MUSCAIA</t>
  </si>
  <si>
    <t>Muscatine</t>
  </si>
  <si>
    <t>NASHVILLE COMM. CORR.</t>
  </si>
  <si>
    <t>BOPCNV</t>
  </si>
  <si>
    <t>NASHVILLE HOLD ROOM</t>
  </si>
  <si>
    <t>Nashville Hold Room</t>
  </si>
  <si>
    <t>NSVHOLD</t>
  </si>
  <si>
    <t>NASSAU COUNTY ICE TRAILER</t>
  </si>
  <si>
    <t>Nassau County I.C.E. Trailer</t>
  </si>
  <si>
    <t>NASTRNY</t>
  </si>
  <si>
    <t>NASSAU COUNTY JAIL</t>
  </si>
  <si>
    <t>Nassau County Jail</t>
  </si>
  <si>
    <t>NASSAFL</t>
  </si>
  <si>
    <t>NASSAU UNIV MED CTR</t>
  </si>
  <si>
    <t>Nassau Univ Medical Center</t>
  </si>
  <si>
    <t>NUMCENY</t>
  </si>
  <si>
    <t>NATRONA COUNTY JAIL</t>
  </si>
  <si>
    <t>Natrona County Jail</t>
  </si>
  <si>
    <t>NATROWY</t>
  </si>
  <si>
    <t>Natrona</t>
  </si>
  <si>
    <t>NELSON COLEMAN CORRECTIONS CENTER</t>
  </si>
  <si>
    <t>Nelson Coleman Corrections Center</t>
  </si>
  <si>
    <t>NLSCOLA</t>
  </si>
  <si>
    <t>NEVADA SOUTHERN DETENTION CENTER</t>
  </si>
  <si>
    <t>Nevada Southern Detention Center</t>
  </si>
  <si>
    <t>NVSDCNV</t>
  </si>
  <si>
    <t>NEW ORLEANS HOLD ROOM</t>
  </si>
  <si>
    <t>New Orleans Hold Room</t>
  </si>
  <si>
    <t>NOLHOLD</t>
  </si>
  <si>
    <t>NEW YORK PRESBYTERIAN HOSPITAL</t>
  </si>
  <si>
    <t>New York Presbyterian Hospital</t>
  </si>
  <si>
    <t>PRESBNY</t>
  </si>
  <si>
    <t>NEW/INS OS HOLD ROOM</t>
  </si>
  <si>
    <t>New/Ins Os Hold Room</t>
  </si>
  <si>
    <t>NEWHOLD</t>
  </si>
  <si>
    <t>NEWBURGH HOLDING</t>
  </si>
  <si>
    <t>Newburgh Holding</t>
  </si>
  <si>
    <t>NBGHOLD</t>
  </si>
  <si>
    <t>NIAGARA COUNTY JAIL</t>
  </si>
  <si>
    <t>Niagara County Jail</t>
  </si>
  <si>
    <t>NIAGANY</t>
  </si>
  <si>
    <t>NORFOLK CITY JAIL</t>
  </si>
  <si>
    <t>Norfolk City Jail</t>
  </si>
  <si>
    <t>NORFOVA</t>
  </si>
  <si>
    <t>NORFOLK SUB-OFFICE HOLD</t>
  </si>
  <si>
    <t>Norfolk Sub-Office Hold</t>
  </si>
  <si>
    <t>NORHOLD</t>
  </si>
  <si>
    <t>NORTH LAKE CORRECTIONAL FACILITY</t>
  </si>
  <si>
    <t>North Lake Correctional Facility</t>
  </si>
  <si>
    <t>NRLKCMI</t>
  </si>
  <si>
    <t>Lake</t>
  </si>
  <si>
    <t>NORTHEAST BAPTIST HOSPITAL</t>
  </si>
  <si>
    <t>Northeast Baptist Hospital</t>
  </si>
  <si>
    <t>NEBHSTX</t>
  </si>
  <si>
    <t>NORTHERN NECK REG. JAIL</t>
  </si>
  <si>
    <t>Northern Neck Regional Jail</t>
  </si>
  <si>
    <t>NNREGVA</t>
  </si>
  <si>
    <t>NORTHERN REGIONAL JAIL</t>
  </si>
  <si>
    <t>Northern Regional Jail</t>
  </si>
  <si>
    <t>WVNORTH</t>
  </si>
  <si>
    <t>NORTHWEST REG. ADULT DET.</t>
  </si>
  <si>
    <t>Northwest Regional Adult Detention</t>
  </si>
  <si>
    <t>NWREGVA</t>
  </si>
  <si>
    <t>NORTHWEST STATE CORRECTIONAL CTR.</t>
  </si>
  <si>
    <t>Northwest State Correctional Center.</t>
  </si>
  <si>
    <t>VTSTALB</t>
  </si>
  <si>
    <t>NW ICE PROCESSING CTR</t>
  </si>
  <si>
    <t>CSCNWWA</t>
  </si>
  <si>
    <t>NW REG JUV DET CTR</t>
  </si>
  <si>
    <t>NRJDCVA</t>
  </si>
  <si>
    <t>NW REGIONAL CORRECTIONS CENTER</t>
  </si>
  <si>
    <t>NWRCCMN</t>
  </si>
  <si>
    <t>NYC HOLD ROOM</t>
  </si>
  <si>
    <t>NYCHOLD</t>
  </si>
  <si>
    <t>NYE COUNTY SHERIFF-PAHRUMP</t>
  </si>
  <si>
    <t>Nye County Sheriff-Pahrump</t>
  </si>
  <si>
    <t>NYEPANV</t>
  </si>
  <si>
    <t>OAKDALE HOLDING ROOM</t>
  </si>
  <si>
    <t>Oakdale Holding Room</t>
  </si>
  <si>
    <t>OAKHOLD</t>
  </si>
  <si>
    <t>OGDEN HOLD ROOM</t>
  </si>
  <si>
    <t>Ogden Hold Room</t>
  </si>
  <si>
    <t>OGUHOLD</t>
  </si>
  <si>
    <t>OKLAHOMA CITY HOLD ROOM.</t>
  </si>
  <si>
    <t>Oklahoma City Hold Room.</t>
  </si>
  <si>
    <t>OKCHOLD</t>
  </si>
  <si>
    <t>OKMULGEE COUNTY JAIL</t>
  </si>
  <si>
    <t>Okmulgee County Jail</t>
  </si>
  <si>
    <t>OKMULOK</t>
  </si>
  <si>
    <t>Okmulgee</t>
  </si>
  <si>
    <t>OLDHAM COUNTY JAIL</t>
  </si>
  <si>
    <t>Oldham County Jail</t>
  </si>
  <si>
    <t>OLDHAKY</t>
  </si>
  <si>
    <t>OMAHA FO HOLD</t>
  </si>
  <si>
    <t>Omaha Fo Hold</t>
  </si>
  <si>
    <t>OMAHOLD</t>
  </si>
  <si>
    <t>ORANGE COUNTY JAIL</t>
  </si>
  <si>
    <t>Orange County Jail</t>
  </si>
  <si>
    <t>ORANGFL</t>
  </si>
  <si>
    <t>ORANGNY</t>
  </si>
  <si>
    <t>ORLANDO HOLD ROOM</t>
  </si>
  <si>
    <t>Orlando Hold Room</t>
  </si>
  <si>
    <t>ORLHOLD</t>
  </si>
  <si>
    <t>OSCEOLA COUNTY JAIL</t>
  </si>
  <si>
    <t>Osceola County Jail</t>
  </si>
  <si>
    <t>OSCEOFL</t>
  </si>
  <si>
    <t>OTAY MESA DETENTION CENTER</t>
  </si>
  <si>
    <t>Otay Mesa Detention Center</t>
  </si>
  <si>
    <t>CCASDCA</t>
  </si>
  <si>
    <t>OTERO COUNTY DETENTION</t>
  </si>
  <si>
    <t>Otero County Detention</t>
  </si>
  <si>
    <t>OTERONM</t>
  </si>
  <si>
    <t>OZARK COUNTY SHERIFF'S OFFICE</t>
  </si>
  <si>
    <t>OZARKMO</t>
  </si>
  <si>
    <t>Ozark</t>
  </si>
  <si>
    <t>PALM BEACH COUNTY JAIL</t>
  </si>
  <si>
    <t>Palm Beach County Jail</t>
  </si>
  <si>
    <t>PALMBFL</t>
  </si>
  <si>
    <t>Palm Beach</t>
  </si>
  <si>
    <t>PALMS BEHAVIORAL HEALTH</t>
  </si>
  <si>
    <t>Palms Behavioral Health</t>
  </si>
  <si>
    <t>PLMBHTX</t>
  </si>
  <si>
    <t>PAM HEALTH SPECIALTY HOSPITAL 1</t>
  </si>
  <si>
    <t>Pam Health Specialty Hospital 1</t>
  </si>
  <si>
    <t>PAMSATX</t>
  </si>
  <si>
    <t>PARADISE VALLEY HOSPITAL</t>
  </si>
  <si>
    <t>Paradise Valley Hospital</t>
  </si>
  <si>
    <t>PVLYHCA</t>
  </si>
  <si>
    <t>PARKLAND HOSPITAL</t>
  </si>
  <si>
    <t>Parkland Hospital</t>
  </si>
  <si>
    <t>PKLDHTX</t>
  </si>
  <si>
    <t>PDN HOLD ROOM</t>
  </si>
  <si>
    <t>Pdn Hold Room</t>
  </si>
  <si>
    <t>PDNHOLD</t>
  </si>
  <si>
    <t>PEABODY PD</t>
  </si>
  <si>
    <t>Peabody Pd</t>
  </si>
  <si>
    <t>PBDPDMA</t>
  </si>
  <si>
    <t>PECOS HOLD ROOM</t>
  </si>
  <si>
    <t>Pecos Hold Room</t>
  </si>
  <si>
    <t>PCSHOLD</t>
  </si>
  <si>
    <t>PENNINGTON COUNTY JAIL SD</t>
  </si>
  <si>
    <t>Pennington County Jail Sd</t>
  </si>
  <si>
    <t>PENNISD</t>
  </si>
  <si>
    <t>PETERSBURG FED.CORR.INST.</t>
  </si>
  <si>
    <t>Petersburg Federal Corrections Institute</t>
  </si>
  <si>
    <t>BOPPET</t>
  </si>
  <si>
    <t>PHELPS COUNTY JAIL</t>
  </si>
  <si>
    <t>Phelps County Jail</t>
  </si>
  <si>
    <t>PHELPNE</t>
  </si>
  <si>
    <t>PHELPMO</t>
  </si>
  <si>
    <t>PHI DISTRICT OFFICE</t>
  </si>
  <si>
    <t>Phi District Office</t>
  </si>
  <si>
    <t>PHIHOLD</t>
  </si>
  <si>
    <t>PHOENIX DIST OFFICE</t>
  </si>
  <si>
    <t>PHOHOLD</t>
  </si>
  <si>
    <t>PHOENIX FED.CORR.INST.</t>
  </si>
  <si>
    <t>Phoenix Federal Corrections Institute</t>
  </si>
  <si>
    <t>BOPPHX</t>
  </si>
  <si>
    <t>PICKENS COUNTY DET CTR</t>
  </si>
  <si>
    <t>PCKNSAL</t>
  </si>
  <si>
    <t>PIEDMONT REG JAIL</t>
  </si>
  <si>
    <t>PMREGVA</t>
  </si>
  <si>
    <t>PIERCE COUNTY JAIL</t>
  </si>
  <si>
    <t>Pierce County Jail</t>
  </si>
  <si>
    <t>PIERCND</t>
  </si>
  <si>
    <t>PIKE COUNTY ERO HOLD ROOM</t>
  </si>
  <si>
    <t>Pike County E.R.O. Hold Room</t>
  </si>
  <si>
    <t>PKEHOLD</t>
  </si>
  <si>
    <t>PIKE COUNTY JAIL</t>
  </si>
  <si>
    <t>Pike County Jail</t>
  </si>
  <si>
    <t>PIKCOPA</t>
  </si>
  <si>
    <t>PIMA COUNTY JAIL</t>
  </si>
  <si>
    <t>Pima County Jail</t>
  </si>
  <si>
    <t>PIMAJAZ</t>
  </si>
  <si>
    <t>PINE PRAIRIE ICE PROCESSING CENTER</t>
  </si>
  <si>
    <t>Pine Prairie I.C.E. Processing Center</t>
  </si>
  <si>
    <t>PINEPLA</t>
  </si>
  <si>
    <t>Pine Prairie</t>
  </si>
  <si>
    <t>PINELLAS COUNTY JAIL</t>
  </si>
  <si>
    <t>Pinellas County Jail</t>
  </si>
  <si>
    <t>PINELFL</t>
  </si>
  <si>
    <t>PITTSBURGH HOLDROOM</t>
  </si>
  <si>
    <t>Pittsburgh Hold Room</t>
  </si>
  <si>
    <t>PITHOLD</t>
  </si>
  <si>
    <t>PLATTE COUNTY JAIL</t>
  </si>
  <si>
    <t>Platte County Jail</t>
  </si>
  <si>
    <t>PLATTWY</t>
  </si>
  <si>
    <t>POLK COUNTY JAIL</t>
  </si>
  <si>
    <t>Polk County Jail</t>
  </si>
  <si>
    <t>POLKJIA</t>
  </si>
  <si>
    <t>POLKJFL</t>
  </si>
  <si>
    <t>PORT ISABEL SPC</t>
  </si>
  <si>
    <t>Port Isabel Service Processing Center</t>
  </si>
  <si>
    <t>PIC</t>
  </si>
  <si>
    <t>PORTLAND DISTRICT OFFICE</t>
  </si>
  <si>
    <t>Portland District Office</t>
  </si>
  <si>
    <t>POOHOLD</t>
  </si>
  <si>
    <t>PORTLAND, ME HOLDROOM</t>
  </si>
  <si>
    <t>Portland, Me Hold Room</t>
  </si>
  <si>
    <t>POMHOLD</t>
  </si>
  <si>
    <t>POTOMAC HIGHLANDS REGIONAL JAIL</t>
  </si>
  <si>
    <t>Potomac Highlands Regional Jail</t>
  </si>
  <si>
    <t>WVPTMAC</t>
  </si>
  <si>
    <t>POTTAWATTAMIE COUNTY JAIL</t>
  </si>
  <si>
    <t>Pottawattamie County Jail</t>
  </si>
  <si>
    <t>POTTAIA</t>
  </si>
  <si>
    <t>POTTER COUNTY JAIL</t>
  </si>
  <si>
    <t>Potter County Jail</t>
  </si>
  <si>
    <t>POTTRTX</t>
  </si>
  <si>
    <t>PRAIRIELAND DETENTION CENTER</t>
  </si>
  <si>
    <t>Prairieland Detention Center</t>
  </si>
  <si>
    <t>PRLDCTX</t>
  </si>
  <si>
    <t>PRAIRIELAND SUBOFFICE HOLD ROOM</t>
  </si>
  <si>
    <t>Prairieland Suboffice Hold Room</t>
  </si>
  <si>
    <t>PRLHOLD</t>
  </si>
  <si>
    <t>PRESBYTERIAN HOSP ABQ</t>
  </si>
  <si>
    <t>PRSHANM</t>
  </si>
  <si>
    <t>PRINCE WILLIAM</t>
  </si>
  <si>
    <t>Prince William</t>
  </si>
  <si>
    <t>PWILLVA</t>
  </si>
  <si>
    <t>PROHOLD</t>
  </si>
  <si>
    <t>Prohold</t>
  </si>
  <si>
    <t>PROVO HOLD ROOM</t>
  </si>
  <si>
    <t>Provo Hold Room</t>
  </si>
  <si>
    <t>PRUHOLD</t>
  </si>
  <si>
    <t>PUEBLO COUNTY JAIL</t>
  </si>
  <si>
    <t>Pueblo County Jail</t>
  </si>
  <si>
    <t>PUEBLCO</t>
  </si>
  <si>
    <t>Pueblo</t>
  </si>
  <si>
    <t>PUEBLO HOLDROOM</t>
  </si>
  <si>
    <t>Pueblo Hold Room</t>
  </si>
  <si>
    <t>PUEHOLD</t>
  </si>
  <si>
    <t>PUTNAM COUNTY JAIL</t>
  </si>
  <si>
    <t>Putnam County Jail</t>
  </si>
  <si>
    <t>PUTMAFL</t>
  </si>
  <si>
    <t>PUTNAM COUNTY SHERIFF</t>
  </si>
  <si>
    <t>Putnam County Sheriff</t>
  </si>
  <si>
    <t>PUTNMTN</t>
  </si>
  <si>
    <t>RALEIGH HOLD ROOM</t>
  </si>
  <si>
    <t>Raleigh Hold Room</t>
  </si>
  <si>
    <t>RDUHOLD</t>
  </si>
  <si>
    <t>RANDALL COUNTY JAIL</t>
  </si>
  <si>
    <t>Randall County Jail</t>
  </si>
  <si>
    <t>RNDLLTX</t>
  </si>
  <si>
    <t>RAPID CITY HOLD ROOM</t>
  </si>
  <si>
    <t>Rapid City Hold Room</t>
  </si>
  <si>
    <t>RPCHOLD</t>
  </si>
  <si>
    <t>RAPP SEC CENTER</t>
  </si>
  <si>
    <t>RAPPSVA</t>
  </si>
  <si>
    <t>READING HOSPITAL</t>
  </si>
  <si>
    <t>Reading Hospital</t>
  </si>
  <si>
    <t>RDHOSPA</t>
  </si>
  <si>
    <t>RED RIVER HOSPITAL</t>
  </si>
  <si>
    <t>Red River Hospital</t>
  </si>
  <si>
    <t>RDRVHTX</t>
  </si>
  <si>
    <t>REDDING HOLD ROOM</t>
  </si>
  <si>
    <t>Redding Hold Room</t>
  </si>
  <si>
    <t>REDHOLD</t>
  </si>
  <si>
    <t>RENO HOLD ROOM</t>
  </si>
  <si>
    <t>Reno Hold Room</t>
  </si>
  <si>
    <t>RENHOLD</t>
  </si>
  <si>
    <t>RICHLAND HOLD ROOM</t>
  </si>
  <si>
    <t>Richland Hold Room</t>
  </si>
  <si>
    <t>RICHOLD</t>
  </si>
  <si>
    <t>RICHMOND SUB-OFFICE HOLD</t>
  </si>
  <si>
    <t>Richmond Sub-Office Hold</t>
  </si>
  <si>
    <t>RCMHOLD</t>
  </si>
  <si>
    <t>RICHWOOD COR CENTER</t>
  </si>
  <si>
    <t>Richwood Correctional Center</t>
  </si>
  <si>
    <t>RWCCMLA</t>
  </si>
  <si>
    <t>RIO GRANDE DETENTION CENTER</t>
  </si>
  <si>
    <t>Rio Grande Detention Center</t>
  </si>
  <si>
    <t>RGRNDTX</t>
  </si>
  <si>
    <t>RIO GRANDE ST.HOSPITAL</t>
  </si>
  <si>
    <t>Rio Grande St.Hospital</t>
  </si>
  <si>
    <t>RGHOSTX</t>
  </si>
  <si>
    <t>RIO GRANDE VALLEY STAGING</t>
  </si>
  <si>
    <t>Rio Grande Valley Staging</t>
  </si>
  <si>
    <t>RGS</t>
  </si>
  <si>
    <t>River Correctional Center</t>
  </si>
  <si>
    <t>RVRCCLA</t>
  </si>
  <si>
    <t>RIVERSIDE REG JAIL</t>
  </si>
  <si>
    <t>RSREGVA</t>
  </si>
  <si>
    <t>ROANOKE CITY JAIL</t>
  </si>
  <si>
    <t>Roanoke City Jail</t>
  </si>
  <si>
    <t>RONKEVA</t>
  </si>
  <si>
    <t>Roanoke</t>
  </si>
  <si>
    <t>ROANOKE SUB-OFFICE HOLD ROOM</t>
  </si>
  <si>
    <t>Roanoke Sub-Office Hold Room</t>
  </si>
  <si>
    <t>RMKHOLD</t>
  </si>
  <si>
    <t>ROBERT A DEYTON DETENTION FAC</t>
  </si>
  <si>
    <t>Robert A Deyton Detention Fac</t>
  </si>
  <si>
    <t>RADDFGA</t>
  </si>
  <si>
    <t>ROCK ISLAND COUNTY JAIL</t>
  </si>
  <si>
    <t>Rock Island County Jail</t>
  </si>
  <si>
    <t>ROCKIIL</t>
  </si>
  <si>
    <t>Rock Island</t>
  </si>
  <si>
    <t>ROCK ISLAND HOLD ROOM</t>
  </si>
  <si>
    <t>Rock Island Hold Room</t>
  </si>
  <si>
    <t>RIIHOLD</t>
  </si>
  <si>
    <t>ROCKINGHAM COUNTY JAIL</t>
  </si>
  <si>
    <t>Rockingham County Jail</t>
  </si>
  <si>
    <t>ROCKIVA</t>
  </si>
  <si>
    <t>ROLLING PLAINS DETENTION CENTER</t>
  </si>
  <si>
    <t>Rolling Plains Detention Center</t>
  </si>
  <si>
    <t>HASKLTX</t>
  </si>
  <si>
    <t>ROSWELL HOLD ROOM</t>
  </si>
  <si>
    <t>Roswell Hold Room</t>
  </si>
  <si>
    <t>RSWHOLD</t>
  </si>
  <si>
    <t>SACRAMENTO HOLD</t>
  </si>
  <si>
    <t>Sacramento Hold</t>
  </si>
  <si>
    <t>SACHOLD</t>
  </si>
  <si>
    <t>SAINT ALBANS HOLD ROOM</t>
  </si>
  <si>
    <t>Saint Albans Hold Room</t>
  </si>
  <si>
    <t>STAHOLD</t>
  </si>
  <si>
    <t>SAIPAIN HOLD</t>
  </si>
  <si>
    <t>Saipain Hold</t>
  </si>
  <si>
    <t>SAIHOLD</t>
  </si>
  <si>
    <t>SAIPAN DEPARTMENT OF CORRECTIONS</t>
  </si>
  <si>
    <t>Saipan Department of Corrections</t>
  </si>
  <si>
    <t>MPSIPAN</t>
  </si>
  <si>
    <t>SALEM COUNTY CORRECTIONAL FACILITY</t>
  </si>
  <si>
    <t>Salem County Correctional Facility</t>
  </si>
  <si>
    <t>SALEMNJ</t>
  </si>
  <si>
    <t>Salem</t>
  </si>
  <si>
    <t>SALINE COUNTY JAIL</t>
  </si>
  <si>
    <t>Saline County Jail</t>
  </si>
  <si>
    <t>SALINNE</t>
  </si>
  <si>
    <t>SALISBURY HOLD ROOM</t>
  </si>
  <si>
    <t>Salisbury Hold Room</t>
  </si>
  <si>
    <t>SALHOLD</t>
  </si>
  <si>
    <t>SALT LAKE CITY HOLD ROOM</t>
  </si>
  <si>
    <t>Salt Lake City Hold Room</t>
  </si>
  <si>
    <t>SLCHOLD</t>
  </si>
  <si>
    <t>SALT LAKE COUNTY JAIL</t>
  </si>
  <si>
    <t>Salt Lake County Jail</t>
  </si>
  <si>
    <t>SLSLCUT</t>
  </si>
  <si>
    <t>SAN ANGELO HOLDROOM</t>
  </si>
  <si>
    <t>San Angelo Hold Room</t>
  </si>
  <si>
    <t>SAGHOLD</t>
  </si>
  <si>
    <t>SAN ANTONIO DRO HOLD ROOM</t>
  </si>
  <si>
    <t>SNAHOLD</t>
  </si>
  <si>
    <t>SAN BERNARDINO HOLD ROOM</t>
  </si>
  <si>
    <t>San Bernardino Hold Room</t>
  </si>
  <si>
    <t>SBDHOLD</t>
  </si>
  <si>
    <t>SAN JUAN AIRPORT HOLD ROOM</t>
  </si>
  <si>
    <t>San Juan Airport Hold Room</t>
  </si>
  <si>
    <t>SJUHOLD</t>
  </si>
  <si>
    <t>SAN JUAN STAGING</t>
  </si>
  <si>
    <t>San Juan Staging</t>
  </si>
  <si>
    <t>SJS</t>
  </si>
  <si>
    <t>SAN JUAN SUB-OFFICE HOLD ROOM</t>
  </si>
  <si>
    <t>San Juan Sub-Office Hold Room</t>
  </si>
  <si>
    <t>SAJHOLD</t>
  </si>
  <si>
    <t>SAN LUIS REGIONAL DET CENTER</t>
  </si>
  <si>
    <t>San Luis Regional Detention Center</t>
  </si>
  <si>
    <t>SLRDCAZ</t>
  </si>
  <si>
    <t>SANTA ANA CITY JAIL</t>
  </si>
  <si>
    <t>Santa Ana City Jail</t>
  </si>
  <si>
    <t>SACITCA</t>
  </si>
  <si>
    <t>SANTA ANA DRO HOLDROOM</t>
  </si>
  <si>
    <t>SAAHOLD</t>
  </si>
  <si>
    <t>SANTA MARIA SUB OFFICE ERO</t>
  </si>
  <si>
    <t>Santa Maria Sub Office Ero</t>
  </si>
  <si>
    <t>SMAHOLD</t>
  </si>
  <si>
    <t>SANTA ROSA COUNTY JAIL</t>
  </si>
  <si>
    <t>Santa Rosa County Jail</t>
  </si>
  <si>
    <t>SROSAFL</t>
  </si>
  <si>
    <t>SARASOTA COUNTY JAIL</t>
  </si>
  <si>
    <t>Sarasota County Jail</t>
  </si>
  <si>
    <t>SARASFL</t>
  </si>
  <si>
    <t>SARPY COUNTY JAIL</t>
  </si>
  <si>
    <t>Sarpy County Jail</t>
  </si>
  <si>
    <t>SARPYNE</t>
  </si>
  <si>
    <t>SAUK COUNTY SHERIFF</t>
  </si>
  <si>
    <t>Sauk County Sheriff</t>
  </si>
  <si>
    <t>SAUKCWI</t>
  </si>
  <si>
    <t>SEATAC FED.DET.CENTER</t>
  </si>
  <si>
    <t>Seatac Federal detention centers</t>
  </si>
  <si>
    <t>BOPSET</t>
  </si>
  <si>
    <t>SEATTLE FIELD OFFICE HOLD ROOM</t>
  </si>
  <si>
    <t>Seattle Field Office Hold Room</t>
  </si>
  <si>
    <t>SEAHOLD</t>
  </si>
  <si>
    <t>SEBASTIAN COUNTY DET CNT</t>
  </si>
  <si>
    <t>SEBASAR</t>
  </si>
  <si>
    <t>SEMINOLE COUNTY JAIL</t>
  </si>
  <si>
    <t>Seminole County Jail</t>
  </si>
  <si>
    <t>SMNOLFL</t>
  </si>
  <si>
    <t>SENECA COUNTY JAIL</t>
  </si>
  <si>
    <t>Seneca County Jail</t>
  </si>
  <si>
    <t>SENECOH</t>
  </si>
  <si>
    <t>SENTARA CAREPLEX HOSPITAL</t>
  </si>
  <si>
    <t>Sentara Careplex Hospital</t>
  </si>
  <si>
    <t>STCHOVA</t>
  </si>
  <si>
    <t>SFR HOLD ROOM</t>
  </si>
  <si>
    <t>SFR Hold Room</t>
  </si>
  <si>
    <t>SFRHOLD</t>
  </si>
  <si>
    <t>SHERBURNE COUNTY JAIL</t>
  </si>
  <si>
    <t>Sherburne County Jail</t>
  </si>
  <si>
    <t>SHERBMN</t>
  </si>
  <si>
    <t>SHREVEPORT HOLD ROOM</t>
  </si>
  <si>
    <t>Shreveport Hold Room</t>
  </si>
  <si>
    <t>VVSHOLD</t>
  </si>
  <si>
    <t>SIOUX CITY HOLD ROOM</t>
  </si>
  <si>
    <t>Sioux City Hold Room</t>
  </si>
  <si>
    <t>SXCHOLD</t>
  </si>
  <si>
    <t>SIOUX COUNTY JAIL</t>
  </si>
  <si>
    <t>Sioux County Jail</t>
  </si>
  <si>
    <t>SIOUXIA</t>
  </si>
  <si>
    <t>SIOUX FALLS HOLD ROOM</t>
  </si>
  <si>
    <t>Sioux Falls Hold Room</t>
  </si>
  <si>
    <t>SFDHOLD</t>
  </si>
  <si>
    <t>SND DISTRICT STAGING</t>
  </si>
  <si>
    <t>Snd District Staging</t>
  </si>
  <si>
    <t>SNDHOLD</t>
  </si>
  <si>
    <t>SNJ HOLD ROOM</t>
  </si>
  <si>
    <t>SNJ Hold Room</t>
  </si>
  <si>
    <t>SNJHOLD</t>
  </si>
  <si>
    <t>SOUTH BAY DETENT FACILITY</t>
  </si>
  <si>
    <t>South Bay Detention Facility</t>
  </si>
  <si>
    <t>SOBAYCA</t>
  </si>
  <si>
    <t>Los Angeles</t>
  </si>
  <si>
    <t>SOUTH CENTRAL REGIONAL JAIL</t>
  </si>
  <si>
    <t>South Central Regional Jail</t>
  </si>
  <si>
    <t>WVSCENT</t>
  </si>
  <si>
    <t>SOUTH LOUISIANA ICE PROC CTR</t>
  </si>
  <si>
    <t>South Louisiana I.C.E. Processing Center</t>
  </si>
  <si>
    <t>BASILLA</t>
  </si>
  <si>
    <t>SOUTH TEXAS FAM RESIDENTIAL CENTER</t>
  </si>
  <si>
    <t>STFRCTX</t>
  </si>
  <si>
    <t>SOUTH TEXAS ICE PROCESSING CENTER</t>
  </si>
  <si>
    <t>South Texas I.C.E. Processing Center</t>
  </si>
  <si>
    <t>STCDFTX</t>
  </si>
  <si>
    <t>SOUTH TEXAS/PEARSALL HOLD ROOM</t>
  </si>
  <si>
    <t>South Texas/Pearsall Hold Room</t>
  </si>
  <si>
    <t>STDHOLD</t>
  </si>
  <si>
    <t>SPOKANE HOLD ROOM</t>
  </si>
  <si>
    <t>Spokane Hold Room</t>
  </si>
  <si>
    <t>SPOHOLD</t>
  </si>
  <si>
    <t>SPRINGFIELD FED.MED.CNTR</t>
  </si>
  <si>
    <t>Springfield Federal Medical Center</t>
  </si>
  <si>
    <t>BOPSPG</t>
  </si>
  <si>
    <t>ST LUKE'S HEALTH - THE WOODLANDS</t>
  </si>
  <si>
    <t>SLHTWTX</t>
  </si>
  <si>
    <t>ST. CLAIR COUNTY JAIL</t>
  </si>
  <si>
    <t>St. Clair County Jail</t>
  </si>
  <si>
    <t>STCLAMI</t>
  </si>
  <si>
    <t>Saint Clair</t>
  </si>
  <si>
    <t>ST. GEORGE, UT HOLDROOM</t>
  </si>
  <si>
    <t>St. George, Ut Hold Room</t>
  </si>
  <si>
    <t>SGUHOLD</t>
  </si>
  <si>
    <t>ST. JOHN'S COUNTY JAIL</t>
  </si>
  <si>
    <t>STJONFL</t>
  </si>
  <si>
    <t>ST. LOUIS HOLDROOM</t>
  </si>
  <si>
    <t>St. Louis Hold Room</t>
  </si>
  <si>
    <t>STLHOLD</t>
  </si>
  <si>
    <t>ST. LUCIE COUNTY JAIL</t>
  </si>
  <si>
    <t>St. Lucie County Jail</t>
  </si>
  <si>
    <t>STLUCFL</t>
  </si>
  <si>
    <t>STE. GENEVIEVE COUNTY SHERIFF/JAIL</t>
  </si>
  <si>
    <t>Ste. Genevieve County Sheriff/Jail</t>
  </si>
  <si>
    <t>STGENMO</t>
  </si>
  <si>
    <t>Sainte Genevieve</t>
  </si>
  <si>
    <t>STEWART DETENTION CENTER</t>
  </si>
  <si>
    <t>Stewart Detention Center</t>
  </si>
  <si>
    <t>STWRTGA</t>
  </si>
  <si>
    <t>STOCKTON STAGING FACILITY</t>
  </si>
  <si>
    <t>Stockton Staging Facility</t>
  </si>
  <si>
    <t>STK</t>
  </si>
  <si>
    <t>STUART HOLD ROOM</t>
  </si>
  <si>
    <t>Stuart Hold Room</t>
  </si>
  <si>
    <t>STUHOLD</t>
  </si>
  <si>
    <t>SUMMIT COUNTY JAIL</t>
  </si>
  <si>
    <t>Summit County Jail</t>
  </si>
  <si>
    <t>SUMMIUT</t>
  </si>
  <si>
    <t>SUMTER COUNTY JAIL</t>
  </si>
  <si>
    <t>Sumter County Jail</t>
  </si>
  <si>
    <t>SUMTEFL</t>
  </si>
  <si>
    <t>SUWANNEE COUNTY JAIL</t>
  </si>
  <si>
    <t>Suwannee County Jail</t>
  </si>
  <si>
    <t>SUWANFL</t>
  </si>
  <si>
    <t>SW VIRGINIA REG JAIL AUTH-ABG FAC</t>
  </si>
  <si>
    <t>ABIRJVA</t>
  </si>
  <si>
    <t>SWEETWATER COUNTY JAIL</t>
  </si>
  <si>
    <t>Sweetwater County Jail</t>
  </si>
  <si>
    <t>SWEETWY</t>
  </si>
  <si>
    <t>SYRACUSE HOLD ROOM</t>
  </si>
  <si>
    <t>Syracuse Hold Room</t>
  </si>
  <si>
    <t>SYRHOLD</t>
  </si>
  <si>
    <t>T DON HUTTO DETENTION CENTER</t>
  </si>
  <si>
    <t>T Don Hutto Detention Center</t>
  </si>
  <si>
    <t>CCAHUTX</t>
  </si>
  <si>
    <t>TALLAHASSEE HOLD ROOM</t>
  </si>
  <si>
    <t>Tallahassee Hold Room</t>
  </si>
  <si>
    <t>TALHOLD</t>
  </si>
  <si>
    <t>TAMPA HOLD ROOM</t>
  </si>
  <si>
    <t>Tampa Hold Room</t>
  </si>
  <si>
    <t>TAMHOLD</t>
  </si>
  <si>
    <t>TAYLOR COUNTY ADULT DET.</t>
  </si>
  <si>
    <t>TAYLOTX</t>
  </si>
  <si>
    <t>Taylor</t>
  </si>
  <si>
    <t>TELLER COUNTY JAIL</t>
  </si>
  <si>
    <t>Teller County Jail</t>
  </si>
  <si>
    <t>TELLECO</t>
  </si>
  <si>
    <t>TEX HEALTH HUGULEY HOSP</t>
  </si>
  <si>
    <t>Tex Health Huguley Hosp</t>
  </si>
  <si>
    <t>THHHBTX</t>
  </si>
  <si>
    <t>TEXARKANA HOLDROOM</t>
  </si>
  <si>
    <t>Texarkana Hold Room</t>
  </si>
  <si>
    <t>TXAHOLD</t>
  </si>
  <si>
    <t>TITUS COUNTY JAIL</t>
  </si>
  <si>
    <t>Titus County Jail</t>
  </si>
  <si>
    <t>TITUSTX</t>
  </si>
  <si>
    <t>TOM GREEN CTY JAIL</t>
  </si>
  <si>
    <t>Tom Green Cty Jail</t>
  </si>
  <si>
    <t>TGREETX</t>
  </si>
  <si>
    <t>TOOELE COUNTY JAIL</t>
  </si>
  <si>
    <t>Tooele County Jail</t>
  </si>
  <si>
    <t>TOOELUT</t>
  </si>
  <si>
    <t>Tooele</t>
  </si>
  <si>
    <t>TOOLE COUNTY JAIL</t>
  </si>
  <si>
    <t>Toole County Jail</t>
  </si>
  <si>
    <t>TOOLEMT</t>
  </si>
  <si>
    <t>TORRANCE/ESTANCIA, NM</t>
  </si>
  <si>
    <t>Torrance/Estancia, Nm</t>
  </si>
  <si>
    <t>TOORANM</t>
  </si>
  <si>
    <t>TUCSON FED.CORR.INST.</t>
  </si>
  <si>
    <t>Tucson Federal Corrections Institute</t>
  </si>
  <si>
    <t>BOPTCN</t>
  </si>
  <si>
    <t>TUCSON INS HOLD ROOM</t>
  </si>
  <si>
    <t>Tucson Ins Hold Room</t>
  </si>
  <si>
    <t>TUCHOLD</t>
  </si>
  <si>
    <t>TULSA COUNTY JAIL</t>
  </si>
  <si>
    <t>Tulsa County Jail</t>
  </si>
  <si>
    <t>TULCOOK</t>
  </si>
  <si>
    <t>Tulsa</t>
  </si>
  <si>
    <t>TULSA HOLD ROOM</t>
  </si>
  <si>
    <t>Tulsa Hold Room</t>
  </si>
  <si>
    <t>TULHOLD</t>
  </si>
  <si>
    <t>TURNER GUIFORD KNIGHT (TGK) JAIL</t>
  </si>
  <si>
    <t>Turner Guiford Knight (Tgk) Jail</t>
  </si>
  <si>
    <t>TGKJLFL</t>
  </si>
  <si>
    <t>TWIN FALLS COUNTY JAIL</t>
  </si>
  <si>
    <t>Twin Falls County Jail</t>
  </si>
  <si>
    <t>TFALLID</t>
  </si>
  <si>
    <t>TWIN FALLS HOLD ROOM</t>
  </si>
  <si>
    <t>Twin Falls Hold Room</t>
  </si>
  <si>
    <t>TFIHOLD</t>
  </si>
  <si>
    <t>TWO BRIDGES REGIONAL JAIL</t>
  </si>
  <si>
    <t>Two Bridges Regional Jail</t>
  </si>
  <si>
    <t>TBRJLME</t>
  </si>
  <si>
    <t>TX HLTH HARRIS METH HOSP</t>
  </si>
  <si>
    <t>Tx Health Harris Meth Hosp</t>
  </si>
  <si>
    <t>THHMHTX</t>
  </si>
  <si>
    <t>UCHICAGO MEDICINE HOSPITAL CHICAGO</t>
  </si>
  <si>
    <t>Uchicago Medicine Hospital Chicago</t>
  </si>
  <si>
    <t>UCCHIIL</t>
  </si>
  <si>
    <t>UINTA COUNTY JAIL</t>
  </si>
  <si>
    <t>Uinta County Jail</t>
  </si>
  <si>
    <t>UINTAWY</t>
  </si>
  <si>
    <t>UMASS MEMORIAL MEDICAL CENTER</t>
  </si>
  <si>
    <t>Umass Memorial Medical Center</t>
  </si>
  <si>
    <t>UMASSMA</t>
  </si>
  <si>
    <t>UNION COUNTY JAIL</t>
  </si>
  <si>
    <t>Union County Jail</t>
  </si>
  <si>
    <t>UNIONSD</t>
  </si>
  <si>
    <t>UNIV OF MARYLAND MEDICAL CENTER</t>
  </si>
  <si>
    <t>University of Maryland Medical Center</t>
  </si>
  <si>
    <t>UNMEDMD</t>
  </si>
  <si>
    <t>UNIVERSITY HOSPITAL</t>
  </si>
  <si>
    <t>University Hospital</t>
  </si>
  <si>
    <t>UNIVHNJ</t>
  </si>
  <si>
    <t>UVHSATX</t>
  </si>
  <si>
    <t>URSULA CENTRALIZED PROCESSING CNTR</t>
  </si>
  <si>
    <t>Ursula Centralized Processing Center</t>
  </si>
  <si>
    <t>URSLATX</t>
  </si>
  <si>
    <t>US MARSHALS, W.D. LA.</t>
  </si>
  <si>
    <t>USMWDLA</t>
  </si>
  <si>
    <t>USP CANAAN</t>
  </si>
  <si>
    <t>BOPCAA</t>
  </si>
  <si>
    <t>UVALDE COUNTY JAIL</t>
  </si>
  <si>
    <t>Uvalde County Jail</t>
  </si>
  <si>
    <t>UVALDTX</t>
  </si>
  <si>
    <t>Uvalde</t>
  </si>
  <si>
    <t>VAL VERDE DETENTION CENTER</t>
  </si>
  <si>
    <t>Val Verde Detention Center</t>
  </si>
  <si>
    <t>VALVETX</t>
  </si>
  <si>
    <t>VALLEY BAPTIST HOSPITAL</t>
  </si>
  <si>
    <t>Valley Baptist Hospital</t>
  </si>
  <si>
    <t>VBHOSTX</t>
  </si>
  <si>
    <t>VALLEYWISE HEALTH MED CTR</t>
  </si>
  <si>
    <t>Valleywise Health Medical Center</t>
  </si>
  <si>
    <t>VWHMCAZ</t>
  </si>
  <si>
    <t>VENTURA COUNTY JAIL</t>
  </si>
  <si>
    <t>Ventura County Jail</t>
  </si>
  <si>
    <t>VENTUCA</t>
  </si>
  <si>
    <t>Ventura</t>
  </si>
  <si>
    <t>VENTURA CUSTODY CASE</t>
  </si>
  <si>
    <t>Ventura Custody Case</t>
  </si>
  <si>
    <t>VENHOLD</t>
  </si>
  <si>
    <t>VICTOR VALLEY GLOBAL MED CENTER</t>
  </si>
  <si>
    <t>Victor Valley Global Medical Center</t>
  </si>
  <si>
    <t>VVGMCCA</t>
  </si>
  <si>
    <t>VICTORIA COUNTY JAIL</t>
  </si>
  <si>
    <t>Victoria County Jail</t>
  </si>
  <si>
    <t>VICTOTX</t>
  </si>
  <si>
    <t>Victoria</t>
  </si>
  <si>
    <t>VIRGINIA BEACH</t>
  </si>
  <si>
    <t>Virginia Beach</t>
  </si>
  <si>
    <t>VIRBEVA</t>
  </si>
  <si>
    <t>VIRGINIA PENINSULA REG. JAIL</t>
  </si>
  <si>
    <t>Virginia Peninsula Regional Jail</t>
  </si>
  <si>
    <t>VPREGVA</t>
  </si>
  <si>
    <t>VRK PRCS</t>
  </si>
  <si>
    <t>Vrk Prcs</t>
  </si>
  <si>
    <t>VRK</t>
  </si>
  <si>
    <t>WCTHOLD</t>
  </si>
  <si>
    <t>WAKULLA COUNTY JAIL</t>
  </si>
  <si>
    <t>Wakulla County Jail</t>
  </si>
  <si>
    <t>WAKULFL</t>
  </si>
  <si>
    <t>WALTON COUNTY D.O.C.</t>
  </si>
  <si>
    <t>Walton County D.O.C.</t>
  </si>
  <si>
    <t>WALTNFL</t>
  </si>
  <si>
    <t>WALTON COUNTY JAIL</t>
  </si>
  <si>
    <t>Walton County Jail</t>
  </si>
  <si>
    <t>WLTSOFL</t>
  </si>
  <si>
    <t>WARD COUNTY JAIL</t>
  </si>
  <si>
    <t>Ward County Jail</t>
  </si>
  <si>
    <t>WARDCND</t>
  </si>
  <si>
    <t>WASHINGTON CO. DETENTION</t>
  </si>
  <si>
    <t>Washington County Detention</t>
  </si>
  <si>
    <t>WASHIMD</t>
  </si>
  <si>
    <t>WASHINGTON COUNTY JAIL</t>
  </si>
  <si>
    <t>Washington County Jail</t>
  </si>
  <si>
    <t>WASHIAR</t>
  </si>
  <si>
    <t>WAJAIMN</t>
  </si>
  <si>
    <t>WASHCUT</t>
  </si>
  <si>
    <t>WASHINGTON FIELD OFFICE</t>
  </si>
  <si>
    <t>Washington Field Office</t>
  </si>
  <si>
    <t>WASHOLD</t>
  </si>
  <si>
    <t>WASHOE COUNTY JAIL</t>
  </si>
  <si>
    <t>Washoe County Jail</t>
  </si>
  <si>
    <t>WASHONV</t>
  </si>
  <si>
    <t>WAUKESHA COUNTY JAIL</t>
  </si>
  <si>
    <t>Waukesha County Jail</t>
  </si>
  <si>
    <t>WAUKEWI</t>
  </si>
  <si>
    <t>Waukesha</t>
  </si>
  <si>
    <t>WEBB COUNTY DETENTION CENTER (CCA)</t>
  </si>
  <si>
    <t>Webb County Detention Center (Corrections Corporation of America)</t>
  </si>
  <si>
    <t>WEBDCTX</t>
  </si>
  <si>
    <t>WEBER COUNTY JAIL</t>
  </si>
  <si>
    <t>Weber County Jail</t>
  </si>
  <si>
    <t>WEBERUT</t>
  </si>
  <si>
    <t>WENATCHEE HOLD ROOM</t>
  </si>
  <si>
    <t>Wenatchee Hold Room</t>
  </si>
  <si>
    <t>WNTHOLD</t>
  </si>
  <si>
    <t>WEST KENDALL BAPTIST HOSP</t>
  </si>
  <si>
    <t>WKBHMFL</t>
  </si>
  <si>
    <t>WEST MIAMI DADE BAPT HEALTH EMERG</t>
  </si>
  <si>
    <t>West Miami Dade Bapt Health Emerg</t>
  </si>
  <si>
    <t>WMDBHFL</t>
  </si>
  <si>
    <t>WESTERN TENNESSEE DET. FAC.</t>
  </si>
  <si>
    <t>Western Tennessee Detention Facility</t>
  </si>
  <si>
    <t>TNWESDF</t>
  </si>
  <si>
    <t>WESTERN VIRGINIA REGIONAL JAIL</t>
  </si>
  <si>
    <t>Western Virginia Regional Jail</t>
  </si>
  <si>
    <t>WVIRGVA</t>
  </si>
  <si>
    <t>WHITE MEMORIAL HOSPITAL</t>
  </si>
  <si>
    <t>White Memorial Hospital</t>
  </si>
  <si>
    <t>WMHOSCA</t>
  </si>
  <si>
    <t>WHITFIELD COUNTY JAIL</t>
  </si>
  <si>
    <t>Whitfield County Jail</t>
  </si>
  <si>
    <t>WHITFGA</t>
  </si>
  <si>
    <t>WICHITA HOLDROOM</t>
  </si>
  <si>
    <t>Wichita Hold Room</t>
  </si>
  <si>
    <t>WICHOLD</t>
  </si>
  <si>
    <t>WILLIAMSPORT HOLD ROOM</t>
  </si>
  <si>
    <t>Williamsport Hold Room</t>
  </si>
  <si>
    <t>WPOHOLD</t>
  </si>
  <si>
    <t>WINN CORRECTIONAL CENTER</t>
  </si>
  <si>
    <t>Winn Correctional Center</t>
  </si>
  <si>
    <t>LAWINCI</t>
  </si>
  <si>
    <t>WOODBURY COUNTY JAIL</t>
  </si>
  <si>
    <t>Woodbury County Jail</t>
  </si>
  <si>
    <t>WOODBIA</t>
  </si>
  <si>
    <t>WVU MEDICINE BERKELEY MEDICAL CNTR</t>
  </si>
  <si>
    <t>Wvu Medicine Berkeley Medical Center</t>
  </si>
  <si>
    <t>UBRKHWV</t>
  </si>
  <si>
    <t>WYATT DETENTION CENTER</t>
  </si>
  <si>
    <t>Wyatt Detention Center</t>
  </si>
  <si>
    <t>WYATTRI</t>
  </si>
  <si>
    <t>YAKIMA SUB-OFFICE</t>
  </si>
  <si>
    <t>Yakima Sub-Office</t>
  </si>
  <si>
    <t>YAKHOLD</t>
  </si>
  <si>
    <t>YELLOWSTONE COUNTY JAIL</t>
  </si>
  <si>
    <t>Yellowstone County Jail</t>
  </si>
  <si>
    <t>YELLOMT</t>
  </si>
  <si>
    <t>YORK COUNTY DETENTION CENTER</t>
  </si>
  <si>
    <t>York County Detention Center</t>
  </si>
  <si>
    <t>YORCOSC</t>
  </si>
  <si>
    <t>York</t>
  </si>
  <si>
    <t>YORK COUNTY JAIL, PA</t>
  </si>
  <si>
    <t>York County Jail, Pa</t>
  </si>
  <si>
    <t>YORCOPA</t>
  </si>
  <si>
    <t>YORK HOLD ROOM</t>
  </si>
  <si>
    <t>York Hold Room</t>
  </si>
  <si>
    <t>YRKHOLD</t>
  </si>
  <si>
    <t>YUMA HOLDROOM</t>
  </si>
  <si>
    <t>Yuma Hold Room</t>
  </si>
  <si>
    <t>YUMHOLD</t>
  </si>
  <si>
    <t>ZAVALA COUNTY JAIL</t>
  </si>
  <si>
    <t>Zavala County Jail</t>
  </si>
  <si>
    <t>ZAVCOTX</t>
  </si>
  <si>
    <t>ADAMS COUNTY CORRECTIONAL CENTER</t>
  </si>
  <si>
    <t>Adams County Correctional Center</t>
  </si>
  <si>
    <t>ADAMSMS</t>
  </si>
  <si>
    <t>ADELANTO ICE PROCESSING CENTER</t>
  </si>
  <si>
    <t>Adelanto I.C.E. Processing Center</t>
  </si>
  <si>
    <t>ADLNTCA</t>
  </si>
  <si>
    <t>Adelanto</t>
  </si>
  <si>
    <t>AGUADILLA SPC</t>
  </si>
  <si>
    <t>Aguadilla Service Processing Center</t>
  </si>
  <si>
    <t>AGC</t>
  </si>
  <si>
    <t>ALAMANCE CO. DET. FACILITY</t>
  </si>
  <si>
    <t>Alamance County Detention Facility</t>
  </si>
  <si>
    <t>ALAMCNC</t>
  </si>
  <si>
    <t>Alamance</t>
  </si>
  <si>
    <t>ALAMO POLICE DEPT.</t>
  </si>
  <si>
    <t>Alamo Police Department</t>
  </si>
  <si>
    <t>ALAMOTX</t>
  </si>
  <si>
    <t>ALAMOSA HOLDROOM</t>
  </si>
  <si>
    <t>Alamosa Hold Room</t>
  </si>
  <si>
    <t>ALMHOLD</t>
  </si>
  <si>
    <t>ALBANY HOLDROOM</t>
  </si>
  <si>
    <t>Albany Hold Room</t>
  </si>
  <si>
    <t>ALBHOLD</t>
  </si>
  <si>
    <t>ALBUQUERQUE HOLD ROOM</t>
  </si>
  <si>
    <t>Albuquerque Hold Room</t>
  </si>
  <si>
    <t>ABQHOLD</t>
  </si>
  <si>
    <t>ALEXANDRIA CITY JAIL</t>
  </si>
  <si>
    <t>Alexandria City Jail</t>
  </si>
  <si>
    <t>ALEXAVA</t>
  </si>
  <si>
    <t>ALEXANDRIA STAGING FACILITY</t>
  </si>
  <si>
    <t>Alexandria Staging Facility</t>
  </si>
  <si>
    <t>JENATLA</t>
  </si>
  <si>
    <t>Alexandria</t>
  </si>
  <si>
    <t>ALLEGANY COUNTY JAIL</t>
  </si>
  <si>
    <t>Allegany County Jail</t>
  </si>
  <si>
    <t>ALLEGNY</t>
  </si>
  <si>
    <t>Allegany</t>
  </si>
  <si>
    <t>ALLEN PARISH PUBLIC SAFETY COMPLEX</t>
  </si>
  <si>
    <t>Allen Parish Public Safety Complex</t>
  </si>
  <si>
    <t>APPSCLA</t>
  </si>
  <si>
    <t>ALVARADO PARKWAY INSTITUTE</t>
  </si>
  <si>
    <t>Alvarado Parkway Institute</t>
  </si>
  <si>
    <t>APIBHCA</t>
  </si>
  <si>
    <t>AMARILLO HOLD ROOM</t>
  </si>
  <si>
    <t>Amarillo Hold Room</t>
  </si>
  <si>
    <t>AMTHOLD</t>
  </si>
  <si>
    <t>ANCHORAGE JAIL</t>
  </si>
  <si>
    <t>Anchorage Jail</t>
  </si>
  <si>
    <t>ANCHOAK</t>
  </si>
  <si>
    <t>ANCHORAGE SUB-OFFICE HOLD ROOM</t>
  </si>
  <si>
    <t>Anchorage Sub-Office Hold Room</t>
  </si>
  <si>
    <t>ANCHOLD</t>
  </si>
  <si>
    <t>ANDERSON COUNTY DET CENTER</t>
  </si>
  <si>
    <t>Anderson County Detention Center</t>
  </si>
  <si>
    <t>ANDERSC</t>
  </si>
  <si>
    <t>Anderson</t>
  </si>
  <si>
    <t>ARAPAHOE COUNTY JAIL</t>
  </si>
  <si>
    <t>Arapahoe County Jail</t>
  </si>
  <si>
    <t>ARAPACO</t>
  </si>
  <si>
    <t>Arapahoe</t>
  </si>
  <si>
    <t>ARIZONA STATE PRISON - YUMA</t>
  </si>
  <si>
    <t>Arizona State Prison - Yuma</t>
  </si>
  <si>
    <t>AZSVCPC</t>
  </si>
  <si>
    <t>ATHENS, TX HOLD ROOM</t>
  </si>
  <si>
    <t>Athens, TX Hold Room</t>
  </si>
  <si>
    <t>ATTHOLD</t>
  </si>
  <si>
    <t>ATLANTA DIST. HOLD RM</t>
  </si>
  <si>
    <t>Atlanta Dist. Hold Room</t>
  </si>
  <si>
    <t>ATLHOLD</t>
  </si>
  <si>
    <t>ATLANTA PRETRIAL DETN CTR</t>
  </si>
  <si>
    <t>ATLANGA</t>
  </si>
  <si>
    <t>ATLANTA U.S. PEN.</t>
  </si>
  <si>
    <t>Atlanta U.S. Penitentiary</t>
  </si>
  <si>
    <t>BOPATL</t>
  </si>
  <si>
    <t>AUSTIN DRO HOLD ROOM</t>
  </si>
  <si>
    <t>AUSHOLD</t>
  </si>
  <si>
    <t>AZ REM OP COORD CENTER (AROCC)</t>
  </si>
  <si>
    <t>Az Rem Op Coord Center (Arocc)</t>
  </si>
  <si>
    <t>IWAHOLD</t>
  </si>
  <si>
    <t>B.R.R.J. HALIFAX</t>
  </si>
  <si>
    <t>B.R.R.J. Halifax</t>
  </si>
  <si>
    <t>HLFRJVA</t>
  </si>
  <si>
    <t>Halifax</t>
  </si>
  <si>
    <t>BAKER C. I.</t>
  </si>
  <si>
    <t>Baker Correctional Institute</t>
  </si>
  <si>
    <t>FLBAKCI</t>
  </si>
  <si>
    <t>BAKER COUNTY SHERIFF DEPT.</t>
  </si>
  <si>
    <t>Baker County Sheriff Department</t>
  </si>
  <si>
    <t>BAKERFL</t>
  </si>
  <si>
    <t>BAKERFIELD HOLD</t>
  </si>
  <si>
    <t>Bakerfield Hold</t>
  </si>
  <si>
    <t>BKLHOLD</t>
  </si>
  <si>
    <t>BALDWIN COUNTY COR. CENTER</t>
  </si>
  <si>
    <t>Baldwin County Correctional Center</t>
  </si>
  <si>
    <t>BALDWAL</t>
  </si>
  <si>
    <t>BALTIMORE HOLD ROOM</t>
  </si>
  <si>
    <t>Baltimore Hold Room</t>
  </si>
  <si>
    <t>BALHOLD</t>
  </si>
  <si>
    <t>BANNER MEDICAL CTR TUCSON</t>
  </si>
  <si>
    <t>Banner Medical Center Tucson</t>
  </si>
  <si>
    <t>BNMCTAZ</t>
  </si>
  <si>
    <t>BAPTIST MEDICAL CENTER</t>
  </si>
  <si>
    <t>Baptist Medical Center</t>
  </si>
  <si>
    <t>BMCSATX</t>
  </si>
  <si>
    <t>BATAVIA COMMAND CENTER HOLDROOM</t>
  </si>
  <si>
    <t>Batavia Command Center Hold Room</t>
  </si>
  <si>
    <t>CMDHOLD</t>
  </si>
  <si>
    <t>BAY COUNTY</t>
  </si>
  <si>
    <t>Bay County</t>
  </si>
  <si>
    <t>BAYCOFL</t>
  </si>
  <si>
    <t>BAYAMON HOSPITAL</t>
  </si>
  <si>
    <t>Bayamon Hospital</t>
  </si>
  <si>
    <t>BAYAMPR</t>
  </si>
  <si>
    <t>Bayamon</t>
  </si>
  <si>
    <t>BELL COUNTY JAIL</t>
  </si>
  <si>
    <t>Bell County Jail</t>
  </si>
  <si>
    <t>BELCOTX</t>
  </si>
  <si>
    <t>BERGEN COUNTY JAIL</t>
  </si>
  <si>
    <t>Bergen County Jail</t>
  </si>
  <si>
    <t>BERGENJ</t>
  </si>
  <si>
    <t>BETH ISRAEL DEACONESS HOSP</t>
  </si>
  <si>
    <t>BIDHPMA</t>
  </si>
  <si>
    <t>BI INCORORATED, GEO GROUP COMPANY</t>
  </si>
  <si>
    <t>Bi Incororated, Geo Group Company</t>
  </si>
  <si>
    <t>BIINCCO</t>
  </si>
  <si>
    <t>BIG SPRING HOLD ROOM</t>
  </si>
  <si>
    <t>Big Spring Hold Room</t>
  </si>
  <si>
    <t>BSCHOLD</t>
  </si>
  <si>
    <t>BILLINGS HOLD ROOM</t>
  </si>
  <si>
    <t>Billings Hold Room</t>
  </si>
  <si>
    <t>BILHOLD</t>
  </si>
  <si>
    <t>BIRMINGHAM HOLD ROOM</t>
  </si>
  <si>
    <t>Birmingham Hold Room</t>
  </si>
  <si>
    <t>BHMHOLD</t>
  </si>
  <si>
    <t>BISHOP HENRY WHIPPLE FED BLDG</t>
  </si>
  <si>
    <t>SPMHOLD</t>
  </si>
  <si>
    <t>BLUEBONNET DET FCLTY</t>
  </si>
  <si>
    <t>Bluebonnet Detention Facility</t>
  </si>
  <si>
    <t>BLBNATX</t>
  </si>
  <si>
    <t>BOISE HOLD ROOM</t>
  </si>
  <si>
    <t>Boise Hold Room</t>
  </si>
  <si>
    <t>BOIHOLD</t>
  </si>
  <si>
    <t>BOONE COUNTY JAIL</t>
  </si>
  <si>
    <t>Boone County Jail</t>
  </si>
  <si>
    <t>BOONEKY</t>
  </si>
  <si>
    <t>BOSTON HOLDROOM</t>
  </si>
  <si>
    <t>Boston Hold Room</t>
  </si>
  <si>
    <t>BOSHOLD</t>
  </si>
  <si>
    <t>BOSTON SPC</t>
  </si>
  <si>
    <t>Boston Service Processing Center</t>
  </si>
  <si>
    <t>BPC</t>
  </si>
  <si>
    <t>BOWLING GREEN HOLD ROOM</t>
  </si>
  <si>
    <t>Bowling Green Hold Room</t>
  </si>
  <si>
    <t>BLGHOLD</t>
  </si>
  <si>
    <t>BRADFORD COUNTY JAIL</t>
  </si>
  <si>
    <t>Bradford County Jail</t>
  </si>
  <si>
    <t>BRDFDFL</t>
  </si>
  <si>
    <t>BREVARD COUNTY JAIL COMPLEX</t>
  </si>
  <si>
    <t>Brevard County Jail Complex</t>
  </si>
  <si>
    <t>BREVDFL</t>
  </si>
  <si>
    <t>BROADVIEW SERVICE STAGING</t>
  </si>
  <si>
    <t>Broadview Service Staging</t>
  </si>
  <si>
    <t>BSAHOLD</t>
  </si>
  <si>
    <t>BROOME COUNTY JAIL</t>
  </si>
  <si>
    <t>Broome County Jail</t>
  </si>
  <si>
    <t>BROMMNY</t>
  </si>
  <si>
    <t>BROWARD COUNTY JAIL</t>
  </si>
  <si>
    <t>Broward County Jail</t>
  </si>
  <si>
    <t>BROJAFL</t>
  </si>
  <si>
    <t>BROWARD GENERAL MEDICAL CENTER</t>
  </si>
  <si>
    <t>Broward General Medical Center</t>
  </si>
  <si>
    <t>BRGMCFL</t>
  </si>
  <si>
    <t>BROWARD TRANSITIONAL CENTER</t>
  </si>
  <si>
    <t>Broward Transitional Center</t>
  </si>
  <si>
    <t>WCCPBFL</t>
  </si>
  <si>
    <t>BROWN COUNTY JAIL</t>
  </si>
  <si>
    <t>Brown County Jail</t>
  </si>
  <si>
    <t>BROWNWI</t>
  </si>
  <si>
    <t>BUFFALO HOLD ROOM</t>
  </si>
  <si>
    <t>Buffalo Hold Room</t>
  </si>
  <si>
    <t>BUFHOLD</t>
  </si>
  <si>
    <t>BUFFALO SPC</t>
  </si>
  <si>
    <t>Buffalo Service Processing Center</t>
  </si>
  <si>
    <t>BTV</t>
  </si>
  <si>
    <t>BUFFALO USBP HOLD ROOM</t>
  </si>
  <si>
    <t>Buffalo U.S.B.P. Hold Room</t>
  </si>
  <si>
    <t>CBPHOLD</t>
  </si>
  <si>
    <t>BURLEIGH CO. JAIL, ND</t>
  </si>
  <si>
    <t>Burleigh County Jail, Nd</t>
  </si>
  <si>
    <t>BURLEND</t>
  </si>
  <si>
    <t>BURNET COUNTY JAIL</t>
  </si>
  <si>
    <t>Burnet County Jail</t>
  </si>
  <si>
    <t>BURNETX</t>
  </si>
  <si>
    <t>Burnet</t>
  </si>
  <si>
    <t>BUTLER COUNTY JAIL</t>
  </si>
  <si>
    <t>Butler County Jail</t>
  </si>
  <si>
    <t>BUTLEOH</t>
  </si>
  <si>
    <t>Cabarrus County Jail</t>
  </si>
  <si>
    <t>CBRRSNC</t>
  </si>
  <si>
    <t>CACHE CO. JAIL</t>
  </si>
  <si>
    <t>Cache County Jail</t>
  </si>
  <si>
    <t>CACHEUT</t>
  </si>
  <si>
    <t>CAL CITY ICE PROCESSING CENTER</t>
  </si>
  <si>
    <t>Cal City I.C.E. Processing Center</t>
  </si>
  <si>
    <t>CACTYCA</t>
  </si>
  <si>
    <t>CALHOMI CALHOUN CO., BATTLE CR,MI</t>
  </si>
  <si>
    <t>Calhomi Calhoun County, Battle Cr,Mi</t>
  </si>
  <si>
    <t>CALHOMI</t>
  </si>
  <si>
    <t>CALIF. MEN COLONY, WEST</t>
  </si>
  <si>
    <t>California Men Colony, West</t>
  </si>
  <si>
    <t>CAMENCW</t>
  </si>
  <si>
    <t>CAMERON COUNTY JAIL</t>
  </si>
  <si>
    <t>Cameron County Jail</t>
  </si>
  <si>
    <t>CAMERTX</t>
  </si>
  <si>
    <t>Cameron</t>
  </si>
  <si>
    <t>CAMPBELL COUNTY JAIL</t>
  </si>
  <si>
    <t>Campbell County Jail</t>
  </si>
  <si>
    <t>CAMCOWY</t>
  </si>
  <si>
    <t>CAROLINE DETENTION FACILITY</t>
  </si>
  <si>
    <t>Caroline Detention Facility</t>
  </si>
  <si>
    <t>CARDFVA</t>
  </si>
  <si>
    <t>CASA GRANDE REG. MED. CENTER</t>
  </si>
  <si>
    <t>Casa Grande Regional Medical Center</t>
  </si>
  <si>
    <t>CGRMCAZ</t>
  </si>
  <si>
    <t>CASCADE COUNTY JAIL, MT</t>
  </si>
  <si>
    <t>Cascade County Jail, Mt</t>
  </si>
  <si>
    <t>CASCAMT</t>
  </si>
  <si>
    <t>Cascade</t>
  </si>
  <si>
    <t>CASPER HOLDROOM</t>
  </si>
  <si>
    <t>Casper Hold Room</t>
  </si>
  <si>
    <t>CSPHOLD</t>
  </si>
  <si>
    <t>CASS COUNTY JAIL</t>
  </si>
  <si>
    <t>Cass County Jail</t>
  </si>
  <si>
    <t>CASSCNE</t>
  </si>
  <si>
    <t>CBP MOVEMENT COORDINATION AREA</t>
  </si>
  <si>
    <t>C.B.P. Movement Coordination Area</t>
  </si>
  <si>
    <t>UCBPMCA</t>
  </si>
  <si>
    <t>CCA NORTHEAST OH CORRECTS</t>
  </si>
  <si>
    <t>Corrections Corporation of America Northeast Oh Corrects</t>
  </si>
  <si>
    <t>CCANOOH</t>
  </si>
  <si>
    <t>CCA, FLORENCE CORRECTIONAL CENTER</t>
  </si>
  <si>
    <t>Corrections Corporation of America, Florence Correctional Center</t>
  </si>
  <si>
    <t>CCAFLAZ</t>
  </si>
  <si>
    <t>CEDAR RAPIDS HOLD ROOM</t>
  </si>
  <si>
    <t>Cedar Rapids Hold Room</t>
  </si>
  <si>
    <t>CRIHOLD</t>
  </si>
  <si>
    <t>CENTRAL ISLIP HOLD ROOM</t>
  </si>
  <si>
    <t>Central Islip Hold Room</t>
  </si>
  <si>
    <t>CIPHOLD</t>
  </si>
  <si>
    <t>CENTRAL LOUISIANA ICE PROC CTR</t>
  </si>
  <si>
    <t>Central Louisiana I.C.E. Processing Center</t>
  </si>
  <si>
    <t>JENADLA</t>
  </si>
  <si>
    <t>CENTRAL VA REGIONAL JAIL</t>
  </si>
  <si>
    <t>Central Va Regional Jail</t>
  </si>
  <si>
    <t>CVREGVA</t>
  </si>
  <si>
    <t>CENTRAL VALLEY ANNEX</t>
  </si>
  <si>
    <t>Central Valley Annex</t>
  </si>
  <si>
    <t>CVANXCA</t>
  </si>
  <si>
    <t>CENTRAL WASHINGTON HOSPITAL</t>
  </si>
  <si>
    <t>Central Washington Hospital</t>
  </si>
  <si>
    <t>CNTRHWA</t>
  </si>
  <si>
    <t>CHAMPLAIN HOLD ROOM</t>
  </si>
  <si>
    <t>Champlain Hold Room</t>
  </si>
  <si>
    <t>CHMHOLD</t>
  </si>
  <si>
    <t>CHANDLER REG MED CTR</t>
  </si>
  <si>
    <t>CHANRAZ</t>
  </si>
  <si>
    <t>CHARLESTON COUNTY CORRECT</t>
  </si>
  <si>
    <t>Charleston County Correct</t>
  </si>
  <si>
    <t>CHARLSC</t>
  </si>
  <si>
    <t>CHARLESTON, SC HOLD ROOM</t>
  </si>
  <si>
    <t>Charleston, Sc Hold Room</t>
  </si>
  <si>
    <t>CHLHOLD</t>
  </si>
  <si>
    <t>CHARLOTTE AMALIE HOLDROOM</t>
  </si>
  <si>
    <t>Charlotte Amalie Hold Room</t>
  </si>
  <si>
    <t>CHAHOLD</t>
  </si>
  <si>
    <t>CHARLOTTE CI, PUNTA GORDA</t>
  </si>
  <si>
    <t>Charlotte Ci, Punta Gorda</t>
  </si>
  <si>
    <t>FLCHACI</t>
  </si>
  <si>
    <t>CHARLOTTE COUNTY JAIL</t>
  </si>
  <si>
    <t>Charlotte County Jail</t>
  </si>
  <si>
    <t>CHRLTFL</t>
  </si>
  <si>
    <t>CHARLOTTE HOLD ROOM</t>
  </si>
  <si>
    <t>Charlotte Hold Room</t>
  </si>
  <si>
    <t>CLTHOLD</t>
  </si>
  <si>
    <t>CHASE COUNTY JAIL</t>
  </si>
  <si>
    <t>Chase County Jail</t>
  </si>
  <si>
    <t>CHASEKS</t>
  </si>
  <si>
    <t>Chase</t>
  </si>
  <si>
    <t>CHATTANOOGA HOLD ROOM</t>
  </si>
  <si>
    <t>Chattanooga Hold Room</t>
  </si>
  <si>
    <t>CNGHOLD</t>
  </si>
  <si>
    <t>CHAVEZ DET CRT</t>
  </si>
  <si>
    <t>Chavez Detention Center</t>
  </si>
  <si>
    <t>CHAVENM</t>
  </si>
  <si>
    <t>CHESAPEAKE CITY JAIL</t>
  </si>
  <si>
    <t>Chesapeake City Jail</t>
  </si>
  <si>
    <t>CHSPKVA</t>
  </si>
  <si>
    <t>CHESTERFIELD CO. JAIL</t>
  </si>
  <si>
    <t>Chesterfield County Jail</t>
  </si>
  <si>
    <t>CHFLDVA</t>
  </si>
  <si>
    <t>Chesterfield</t>
  </si>
  <si>
    <t>CHEYENNE HOLDROOM</t>
  </si>
  <si>
    <t>Cheyenne Hold Room</t>
  </si>
  <si>
    <t>CHYHOLD</t>
  </si>
  <si>
    <t>CHI ST LUKE'S H M LUFKIN</t>
  </si>
  <si>
    <t>Chi St Luke'S H M Lufkin</t>
  </si>
  <si>
    <t>CSLLFTX</t>
  </si>
  <si>
    <t>CHICAGO HOLD ROOM</t>
  </si>
  <si>
    <t>Chicago Hold Room</t>
  </si>
  <si>
    <t>CHIHOLD</t>
  </si>
  <si>
    <t>CHIPPEWA CO., SSM</t>
  </si>
  <si>
    <t>Chippewa County, Ssm</t>
  </si>
  <si>
    <t>CHIPPMI</t>
  </si>
  <si>
    <t>CHITTENDEN REG. COR. FACILITY</t>
  </si>
  <si>
    <t>Chittenden Reg. Correctional Facility</t>
  </si>
  <si>
    <t>VTCHTDN</t>
  </si>
  <si>
    <t>CHRISTIAN COUNTY JAIL</t>
  </si>
  <si>
    <t>Christian County Jail</t>
  </si>
  <si>
    <t>CHRISKY</t>
  </si>
  <si>
    <t>CHRISTUS SANTA ROSA HOSPITAL - MED</t>
  </si>
  <si>
    <t>Christus Santa Rosa Hospital - Med</t>
  </si>
  <si>
    <t>CHSRHTX</t>
  </si>
  <si>
    <t>CIBOLA COUNTY CORRECTIONAL CENTER</t>
  </si>
  <si>
    <t>Cibola County Correctional Center</t>
  </si>
  <si>
    <t>CIBOCNM</t>
  </si>
  <si>
    <t>CIBOLA COUNTY DET CTR</t>
  </si>
  <si>
    <t>CIBOLNM</t>
  </si>
  <si>
    <t>CIMARRON CORRECTIONAL FACILITY</t>
  </si>
  <si>
    <t>Cimarron Correctional Facility</t>
  </si>
  <si>
    <t>OKCIMMC</t>
  </si>
  <si>
    <t>CINCINNATI HOLDROOM</t>
  </si>
  <si>
    <t>Cincinnati Hold Room</t>
  </si>
  <si>
    <t>CINHOLD</t>
  </si>
  <si>
    <t>CITRUS COUNTY JAIL</t>
  </si>
  <si>
    <t>Citrus County Jail</t>
  </si>
  <si>
    <t>CITRUFL</t>
  </si>
  <si>
    <t>CLARK COUNTY JAIL</t>
  </si>
  <si>
    <t>Clark County Jail</t>
  </si>
  <si>
    <t>CLARKIN</t>
  </si>
  <si>
    <t>CLAY COUNTY JUSTICE CENTER</t>
  </si>
  <si>
    <t>Clay County Justice Center</t>
  </si>
  <si>
    <t>CLAYCIN</t>
  </si>
  <si>
    <t>CLEVELAND HOLD ROOM</t>
  </si>
  <si>
    <t>Cleveland Hold Room</t>
  </si>
  <si>
    <t>CLEHOLD</t>
  </si>
  <si>
    <t>CLINTON COUNTY CORR. FAC.</t>
  </si>
  <si>
    <t>Clinton County Correctional Facility</t>
  </si>
  <si>
    <t>CLINTPA</t>
  </si>
  <si>
    <t>Clinton</t>
  </si>
  <si>
    <t>CLINTON COUNTY JAIL</t>
  </si>
  <si>
    <t>Clinton County Jail</t>
  </si>
  <si>
    <t>CLICONY</t>
  </si>
  <si>
    <t>COASTAL BEND DET. FACILITY</t>
  </si>
  <si>
    <t>Coastal Bend Detention Facility</t>
  </si>
  <si>
    <t>CBENDTX</t>
  </si>
  <si>
    <t>COBB CO SHERIFFS OFC ADULT DET CTR</t>
  </si>
  <si>
    <t>COBBJGA</t>
  </si>
  <si>
    <t>DORCHESTER CO DET CTR</t>
  </si>
  <si>
    <t>DORCDSC</t>
  </si>
  <si>
    <t>Dorchester</t>
  </si>
  <si>
    <t>HALL CO JAIL</t>
  </si>
  <si>
    <t>HALLJGA</t>
  </si>
  <si>
    <t>HANCOCK CO PUB SFTY CPLX</t>
  </si>
  <si>
    <t>HCPSCMS</t>
  </si>
  <si>
    <t>HARDIN CO JAIL</t>
  </si>
  <si>
    <t>HARDJIA</t>
  </si>
  <si>
    <t>KRNRCTX</t>
  </si>
  <si>
    <t>KCOJFOK</t>
  </si>
  <si>
    <t>KENTOKY</t>
  </si>
  <si>
    <t>LSRDCTX</t>
  </si>
  <si>
    <t>La Salle</t>
  </si>
  <si>
    <t>MONTGAL</t>
  </si>
  <si>
    <t>NASSANY</t>
  </si>
  <si>
    <t>NWHNVNC</t>
  </si>
  <si>
    <t>OGCMCCA</t>
  </si>
  <si>
    <t>OTRPCNM</t>
  </si>
  <si>
    <t>PLYMOMA</t>
  </si>
  <si>
    <t>Plymouth</t>
  </si>
  <si>
    <t>SCOTTNE</t>
  </si>
  <si>
    <t>SMARYMD</t>
  </si>
  <si>
    <t>STRAFNH</t>
  </si>
  <si>
    <t>Strafford</t>
  </si>
  <si>
    <t>BARTOW CO JAIL</t>
  </si>
  <si>
    <t>BARTOGA</t>
  </si>
  <si>
    <t>Bartow</t>
  </si>
  <si>
    <t>BOURBON CO DET CENTER</t>
  </si>
  <si>
    <t>BOURBKY</t>
  </si>
  <si>
    <t>CAMPBELL CO DET CTR</t>
  </si>
  <si>
    <t>CPBDCKY</t>
  </si>
  <si>
    <t>Bishop Henry Whipple Federal Building</t>
  </si>
  <si>
    <t>Hall County Jail</t>
  </si>
  <si>
    <t>Hardin County Jail</t>
  </si>
  <si>
    <t>Hidalgo County Sheriff's Jail</t>
  </si>
  <si>
    <t>IAH Secure Adult Detention Facility</t>
  </si>
  <si>
    <t>JFK International Ap - T7</t>
  </si>
  <si>
    <t>Bartow County Jail</t>
  </si>
  <si>
    <t>Bourbon County Detention Center</t>
  </si>
  <si>
    <t>Karnes County Correctional Center</t>
  </si>
  <si>
    <t>KARNES County IMMIGRATION PROCESS CTR</t>
  </si>
  <si>
    <t>Karnes County Immigration Process Center</t>
  </si>
  <si>
    <t>KAY County JUSTICE FACILITY</t>
  </si>
  <si>
    <t>Kay County Justice Facility</t>
  </si>
  <si>
    <t>KENTON County DETENTION CTR</t>
  </si>
  <si>
    <t>Kenton County Detention Center</t>
  </si>
  <si>
    <t>LA SALLE County REGIONAL DET. CENTER</t>
  </si>
  <si>
    <t>La Salle County Regional Detention Center</t>
  </si>
  <si>
    <t>MONTGOMERY County MAC SIM BUTLER D.F.</t>
  </si>
  <si>
    <t>NASSAU County CORREC CENTER</t>
  </si>
  <si>
    <t>Nassau County Correctional Center</t>
  </si>
  <si>
    <t>NEW HANOVER County DET CENTER</t>
  </si>
  <si>
    <t>New Hanover County Detention Center</t>
  </si>
  <si>
    <t>ORANGE County GLOBAL MEDICAL CENTER</t>
  </si>
  <si>
    <t>Orange County Global Medical Center</t>
  </si>
  <si>
    <t>OTERO County PROCESSING CENTER</t>
  </si>
  <si>
    <t>Otero County Processing Center</t>
  </si>
  <si>
    <t>PLYMOUTH County COR FACILTY</t>
  </si>
  <si>
    <t>SCOTTS BLUFF County JAIL</t>
  </si>
  <si>
    <t>Scotts Bluff County Jail</t>
  </si>
  <si>
    <t>ST. MARY'S County DET CNTR</t>
  </si>
  <si>
    <t>STRAFFORD County DEPT OF CORR</t>
  </si>
  <si>
    <t>Strafford County Department of Corrections</t>
  </si>
  <si>
    <t>WACounty DRO HOLD ROOM</t>
  </si>
  <si>
    <t>Austin DRO Hold Room</t>
  </si>
  <si>
    <t>Del Rio DRO Hold Room</t>
  </si>
  <si>
    <t>San Antonio DRO Hold Room</t>
  </si>
  <si>
    <t>Santa Ana DRO Hold Room</t>
  </si>
  <si>
    <t>Waco DRO Hold Room</t>
  </si>
  <si>
    <t>GTMOACU</t>
  </si>
  <si>
    <t>BOPBRO</t>
  </si>
  <si>
    <t>GTMODCU</t>
  </si>
  <si>
    <t>BROKSTX</t>
  </si>
  <si>
    <t>STMARCA</t>
  </si>
  <si>
    <t>NBRMCFL</t>
  </si>
  <si>
    <t>GLEPDCA</t>
  </si>
  <si>
    <t>SCOTTIA</t>
  </si>
  <si>
    <t>CLINTIN</t>
  </si>
  <si>
    <t>IRWINGA</t>
  </si>
  <si>
    <t>BIMDCAZ</t>
  </si>
  <si>
    <t>UMCEPTX</t>
  </si>
  <si>
    <t>UCHUHCO</t>
  </si>
  <si>
    <t>STJMCWA</t>
  </si>
  <si>
    <t>ARRMCCA</t>
  </si>
  <si>
    <t>NRPHOLD</t>
  </si>
  <si>
    <t>OGRMCNY</t>
  </si>
  <si>
    <t>UMEMCNY</t>
  </si>
  <si>
    <t>AGMDCCA</t>
  </si>
  <si>
    <t>METHOTX</t>
  </si>
  <si>
    <t>HHCHKTX</t>
  </si>
  <si>
    <t>RVBHHTX</t>
  </si>
  <si>
    <t>MVPNHPA</t>
  </si>
  <si>
    <t>TRRMCNJ</t>
  </si>
  <si>
    <t>SCVMCCA</t>
  </si>
  <si>
    <t>WESHOLD</t>
  </si>
  <si>
    <t>ECMCBNY</t>
  </si>
  <si>
    <t>MHTSATX</t>
  </si>
  <si>
    <t>MEMRHFL</t>
  </si>
  <si>
    <t>ADVHBCA</t>
  </si>
  <si>
    <t>CAMBRPA</t>
  </si>
  <si>
    <t>MWASHVA</t>
  </si>
  <si>
    <t>UMIAHFL</t>
  </si>
  <si>
    <t>OKMHKTX</t>
  </si>
  <si>
    <t>MSTHSTX</t>
  </si>
  <si>
    <t>DVHSPNV</t>
  </si>
  <si>
    <t>STJOSAZ</t>
  </si>
  <si>
    <t>LAWRESD</t>
  </si>
  <si>
    <t>STJOSCO</t>
  </si>
  <si>
    <t>MTNITPA</t>
  </si>
  <si>
    <t>JACKSTN</t>
  </si>
  <si>
    <t>DNHMCCO</t>
  </si>
  <si>
    <t>BSWRRTX</t>
  </si>
  <si>
    <t>WILSOTX</t>
  </si>
  <si>
    <t>KPCHOAZ</t>
  </si>
  <si>
    <t>CCRMHMN</t>
  </si>
  <si>
    <t>BSTAYTX</t>
  </si>
  <si>
    <t>CCHRTTX</t>
  </si>
  <si>
    <t>CIBOGNM</t>
  </si>
  <si>
    <t>MTHOSTX</t>
  </si>
  <si>
    <t>BANHOAZ</t>
  </si>
  <si>
    <t>PCRMMGA</t>
  </si>
  <si>
    <t>STRMONY</t>
  </si>
  <si>
    <t>BBCHPMI</t>
  </si>
  <si>
    <t>WWDHDNH</t>
  </si>
  <si>
    <t>CSSCHVA</t>
  </si>
  <si>
    <t>LVYHOPA</t>
  </si>
  <si>
    <t>BOPOAD</t>
  </si>
  <si>
    <t>HHBTHTX</t>
  </si>
  <si>
    <t>THPSCTX</t>
  </si>
  <si>
    <t>LBJHSTX</t>
  </si>
  <si>
    <t>GUAMHGU</t>
  </si>
  <si>
    <t>YRMDCAZ</t>
  </si>
  <si>
    <t>UHGMCOH</t>
  </si>
  <si>
    <t>MEHOSCA</t>
  </si>
  <si>
    <t>COXMEMO</t>
  </si>
  <si>
    <t>GRGBVTX</t>
  </si>
  <si>
    <t>CHISLTX</t>
  </si>
  <si>
    <t>PWHOSFL</t>
  </si>
  <si>
    <t>TACGHWA</t>
  </si>
  <si>
    <t>CHPHOVA</t>
  </si>
  <si>
    <t>UCSDHCA</t>
  </si>
  <si>
    <t>ADVHDCA</t>
  </si>
  <si>
    <t>HCAFMFL</t>
  </si>
  <si>
    <t>STELHOH</t>
  </si>
  <si>
    <t>UPMCAPA</t>
  </si>
  <si>
    <t>UNMHANM</t>
  </si>
  <si>
    <t>ANSGHTX</t>
  </si>
  <si>
    <t>UCSDMCA</t>
  </si>
  <si>
    <t>KNXCHTX</t>
  </si>
  <si>
    <t>MIRHPRI</t>
  </si>
  <si>
    <t>WOODFKY</t>
  </si>
  <si>
    <t>KERNHCA</t>
  </si>
  <si>
    <t>BOPLOS</t>
  </si>
  <si>
    <t>LSHOSMA</t>
  </si>
  <si>
    <t>UPMCPPA</t>
  </si>
  <si>
    <t>SSHNHNY</t>
  </si>
  <si>
    <t>CRMCFCA</t>
  </si>
  <si>
    <t>DULHOLD</t>
  </si>
  <si>
    <t>MERCYFL</t>
  </si>
  <si>
    <t>UHOSPIN</t>
  </si>
  <si>
    <t>CROWGMN</t>
  </si>
  <si>
    <t>CENTRVA</t>
  </si>
  <si>
    <t>AHGRFND</t>
  </si>
  <si>
    <t>ROCGHNY</t>
  </si>
  <si>
    <t>SNTRHNY</t>
  </si>
  <si>
    <t>EFMHMFL</t>
  </si>
  <si>
    <t>MHTFHOH</t>
  </si>
  <si>
    <t>SPOTSVA</t>
  </si>
  <si>
    <t>UPSLHIA</t>
  </si>
  <si>
    <t>BROHOMI</t>
  </si>
  <si>
    <t>PHOSMGA</t>
  </si>
  <si>
    <t>MLPHHMI</t>
  </si>
  <si>
    <t>SSHSWMA</t>
  </si>
  <si>
    <t>ESKHLIN</t>
  </si>
  <si>
    <t>TVMSATX</t>
  </si>
  <si>
    <t>TALLAMS</t>
  </si>
  <si>
    <t>PKMEDIN</t>
  </si>
  <si>
    <t>SPRHONY</t>
  </si>
  <si>
    <t>CCHAUTX</t>
  </si>
  <si>
    <t>ENLMCCA</t>
  </si>
  <si>
    <t>MARICOR</t>
  </si>
  <si>
    <t>PHELSMO</t>
  </si>
  <si>
    <t>MRYHOMO</t>
  </si>
  <si>
    <t>PINALAZ</t>
  </si>
  <si>
    <t>KERCOCA</t>
  </si>
  <si>
    <t>QUEMCHI</t>
  </si>
  <si>
    <t>ABRXSPA</t>
  </si>
  <si>
    <t>MYOMKMN</t>
  </si>
  <si>
    <t>OLACCLA</t>
  </si>
  <si>
    <t>HGHBECO</t>
  </si>
  <si>
    <t>PHPMHGA</t>
  </si>
  <si>
    <t>PHRCENJ</t>
  </si>
  <si>
    <t>STFRHGA</t>
  </si>
  <si>
    <t>MRYHPMN</t>
  </si>
  <si>
    <t>EPCPCTX</t>
  </si>
  <si>
    <t>INTEGOK</t>
  </si>
  <si>
    <t>UMCLVNV</t>
  </si>
  <si>
    <t>MESJACO</t>
  </si>
  <si>
    <t>MDLNDNE</t>
  </si>
  <si>
    <t>SHMCHNV</t>
  </si>
  <si>
    <t>BERNANM</t>
  </si>
  <si>
    <t>STMARAZ</t>
  </si>
  <si>
    <t>NMCOMNE</t>
  </si>
  <si>
    <t>JMTHOVA</t>
  </si>
  <si>
    <t>BEHOSNY</t>
  </si>
  <si>
    <t>ALHAMCA</t>
  </si>
  <si>
    <t>RIHPRRI</t>
  </si>
  <si>
    <t>SNDCOCA</t>
  </si>
  <si>
    <t>CURRYNM</t>
  </si>
  <si>
    <t>MHRHOPA</t>
  </si>
  <si>
    <t>UVACVVA</t>
  </si>
  <si>
    <t>CCRMCCA</t>
  </si>
  <si>
    <t>UHSHONY</t>
  </si>
  <si>
    <t>UCHRVIL</t>
  </si>
  <si>
    <t>CODCCSP</t>
  </si>
  <si>
    <t>PRVMDKS</t>
  </si>
  <si>
    <t>PLATTMO</t>
  </si>
  <si>
    <t>THHEBTX</t>
  </si>
  <si>
    <t>BRLHOAK</t>
  </si>
  <si>
    <t>CNTGRIL</t>
  </si>
  <si>
    <t>GFJUVND</t>
  </si>
  <si>
    <t>MMCCRIA</t>
  </si>
  <si>
    <t>BFLHPNY</t>
  </si>
  <si>
    <t>SUFFONY</t>
  </si>
  <si>
    <t>BEDCITX</t>
  </si>
  <si>
    <t>AURORCO</t>
  </si>
  <si>
    <t>WRMEDWI</t>
  </si>
  <si>
    <t>MEMHOCA</t>
  </si>
  <si>
    <t>ASHRSFL</t>
  </si>
  <si>
    <t>ADVHCHI</t>
  </si>
  <si>
    <t>SUTMCCA</t>
  </si>
  <si>
    <t>MEMCRCA</t>
  </si>
  <si>
    <t>PLRMCCA</t>
  </si>
  <si>
    <t>HAVMCWA</t>
  </si>
  <si>
    <t>CONHOTX</t>
  </si>
  <si>
    <t>STJHCCA</t>
  </si>
  <si>
    <t>DONAANM</t>
  </si>
  <si>
    <t>CWHCCMP</t>
  </si>
  <si>
    <t>UPSLSIA</t>
  </si>
  <si>
    <t>BLKREOK</t>
  </si>
  <si>
    <t>LOCMHNY</t>
  </si>
  <si>
    <t>MHCHSMI</t>
  </si>
  <si>
    <t>NYWASHC</t>
  </si>
  <si>
    <t>LASALTX</t>
  </si>
  <si>
    <t>MCHALMN</t>
  </si>
  <si>
    <t>PVHOSIN</t>
  </si>
  <si>
    <t>SBERNCA</t>
  </si>
  <si>
    <t>BTSHOMI</t>
  </si>
  <si>
    <t>DEAPDMI</t>
  </si>
  <si>
    <t>KENMHNY</t>
  </si>
  <si>
    <t>MHFSHMN</t>
  </si>
  <si>
    <t>MMMCSMI</t>
  </si>
  <si>
    <t>THPMCTX</t>
  </si>
  <si>
    <t>GTMOBCU</t>
  </si>
  <si>
    <t>BOSSRLA</t>
  </si>
  <si>
    <t>MNTGMAL</t>
  </si>
  <si>
    <t>STTAMLA</t>
  </si>
  <si>
    <t>VTDCORR</t>
  </si>
  <si>
    <t>FLHOSFL</t>
  </si>
  <si>
    <t>MONMONJ</t>
  </si>
  <si>
    <t>LLUMCCA</t>
  </si>
  <si>
    <t>DEKALAL</t>
  </si>
  <si>
    <t>CHIHMIA</t>
  </si>
  <si>
    <t>CASPSAC</t>
  </si>
  <si>
    <t>PMMRHMI</t>
  </si>
  <si>
    <t>VCUHOVA</t>
  </si>
  <si>
    <t>GSMCDPA</t>
  </si>
  <si>
    <t>UNIHONY</t>
  </si>
  <si>
    <t>STCHRLA</t>
  </si>
  <si>
    <t>FCLT8CA</t>
  </si>
  <si>
    <t>NNVMCNV</t>
  </si>
  <si>
    <t>ADDCOVT</t>
  </si>
  <si>
    <t>count</t>
  </si>
  <si>
    <t>covered?</t>
  </si>
  <si>
    <t>state</t>
  </si>
  <si>
    <t> Los Fresnos</t>
  </si>
  <si>
    <t>city</t>
  </si>
  <si>
    <t>Conroe</t>
  </si>
  <si>
    <t>San Diego</t>
  </si>
  <si>
    <t>Pearsall</t>
  </si>
  <si>
    <t>Karnes</t>
  </si>
  <si>
    <t>Broward</t>
  </si>
  <si>
    <t>Denver</t>
  </si>
  <si>
    <t>Houston</t>
  </si>
  <si>
    <t>Phoenix</t>
  </si>
  <si>
    <t>Atlanta</t>
  </si>
  <si>
    <t>Lumpkin</t>
  </si>
  <si>
    <t>Winnfield</t>
  </si>
  <si>
    <t>Natchez</t>
  </si>
  <si>
    <t>Alvarado</t>
  </si>
  <si>
    <t>El Paso</t>
  </si>
  <si>
    <t>Anchorage</t>
  </si>
  <si>
    <t>Cheyenne</t>
  </si>
  <si>
    <t/>
  </si>
  <si>
    <t>Richland</t>
  </si>
  <si>
    <t>Chesapeake City</t>
  </si>
  <si>
    <t>Clark</t>
  </si>
  <si>
    <t>Cumberland</t>
  </si>
  <si>
    <t>Rio Grande</t>
  </si>
  <si>
    <t>Fayette</t>
  </si>
  <si>
    <t>Finney</t>
  </si>
  <si>
    <t>Grand Forks</t>
  </si>
  <si>
    <t>Hartford</t>
  </si>
  <si>
    <t>Jefferson</t>
  </si>
  <si>
    <t>Knox</t>
  </si>
  <si>
    <t>Albany</t>
  </si>
  <si>
    <t>Miami-Dade</t>
  </si>
  <si>
    <t>Orange</t>
  </si>
  <si>
    <t>Norfolk City</t>
  </si>
  <si>
    <t>Nye</t>
  </si>
  <si>
    <t>Christian</t>
  </si>
  <si>
    <t>San Bernardino</t>
  </si>
  <si>
    <t>Torrance</t>
  </si>
  <si>
    <t>Twin Falls</t>
  </si>
  <si>
    <t>Yuma</t>
  </si>
  <si>
    <t>Calhoun</t>
  </si>
  <si>
    <t>Cibola</t>
  </si>
  <si>
    <t>Citrus</t>
  </si>
  <si>
    <t>Clay</t>
  </si>
  <si>
    <t>Grayson</t>
  </si>
  <si>
    <t>Greene</t>
  </si>
  <si>
    <t>Hall</t>
  </si>
  <si>
    <t>Hamilton</t>
  </si>
  <si>
    <t>Hendry</t>
  </si>
  <si>
    <t>Kenton</t>
  </si>
  <si>
    <t>Kinney</t>
  </si>
  <si>
    <t>Laurel</t>
  </si>
  <si>
    <t>Levy</t>
  </si>
  <si>
    <t>Linn</t>
  </si>
  <si>
    <t>La Paz</t>
  </si>
  <si>
    <t>Lackawanna</t>
  </si>
  <si>
    <t>Logan</t>
  </si>
  <si>
    <t>Martin</t>
  </si>
  <si>
    <t>Baldwin</t>
  </si>
  <si>
    <t>Bay</t>
  </si>
  <si>
    <t>Bell</t>
  </si>
  <si>
    <t>Bergen</t>
  </si>
  <si>
    <t>Boone</t>
  </si>
  <si>
    <t>Bradford</t>
  </si>
  <si>
    <t>Brevard</t>
  </si>
  <si>
    <t>Broome</t>
  </si>
  <si>
    <t>Brown</t>
  </si>
  <si>
    <t>Burleigh</t>
  </si>
  <si>
    <t>Cabarrus</t>
  </si>
  <si>
    <t>Cache</t>
  </si>
  <si>
    <t>Campbell</t>
  </si>
  <si>
    <t>Cass</t>
  </si>
  <si>
    <t>Charleston</t>
  </si>
  <si>
    <t>Charlotte</t>
  </si>
  <si>
    <t>Chippewa</t>
  </si>
  <si>
    <t>Hennepin</t>
  </si>
  <si>
    <t>Henrico</t>
  </si>
  <si>
    <t>Hillsborough</t>
  </si>
  <si>
    <t>Hopkins</t>
  </si>
  <si>
    <t>Hudson</t>
  </si>
  <si>
    <t>COUNTY</t>
  </si>
  <si>
    <t xml:space="preserve">Dakota </t>
  </si>
  <si>
    <t xml:space="preserve">Davis </t>
  </si>
  <si>
    <t xml:space="preserve">Denver </t>
  </si>
  <si>
    <t xml:space="preserve">Dodge </t>
  </si>
  <si>
    <t xml:space="preserve">Douglas </t>
  </si>
  <si>
    <t xml:space="preserve">Tulsa </t>
  </si>
  <si>
    <t xml:space="preserve">Elmore </t>
  </si>
  <si>
    <t xml:space="preserve">Suwannee </t>
  </si>
  <si>
    <t xml:space="preserve">Essex </t>
  </si>
  <si>
    <t xml:space="preserve">Etowah </t>
  </si>
  <si>
    <t xml:space="preserve">Fayette </t>
  </si>
  <si>
    <t xml:space="preserve">Finney </t>
  </si>
  <si>
    <t xml:space="preserve">Flagler </t>
  </si>
  <si>
    <t xml:space="preserve">Floyd </t>
  </si>
  <si>
    <t xml:space="preserve">Forsyth </t>
  </si>
  <si>
    <t xml:space="preserve">Franklin </t>
  </si>
  <si>
    <t xml:space="preserve">Gallatin </t>
  </si>
  <si>
    <t xml:space="preserve">Garvin </t>
  </si>
  <si>
    <t xml:space="preserve">Gaston </t>
  </si>
  <si>
    <t xml:space="preserve">Geauga </t>
  </si>
  <si>
    <t xml:space="preserve">Glades </t>
  </si>
  <si>
    <t xml:space="preserve">Pima </t>
  </si>
  <si>
    <t xml:space="preserve">Washington </t>
  </si>
  <si>
    <t xml:space="preserve">Summit </t>
  </si>
  <si>
    <t xml:space="preserve">Lincoln </t>
  </si>
  <si>
    <t xml:space="preserve">Loudoun </t>
  </si>
  <si>
    <t xml:space="preserve">Mahoning </t>
  </si>
  <si>
    <t xml:space="preserve">Manatee </t>
  </si>
  <si>
    <t xml:space="preserve">Maverick </t>
  </si>
  <si>
    <t xml:space="preserve">Mclennan </t>
  </si>
  <si>
    <t xml:space="preserve">Campbell </t>
  </si>
  <si>
    <t xml:space="preserve">Bourbon </t>
  </si>
  <si>
    <t xml:space="preserve">Sarasota </t>
  </si>
  <si>
    <t xml:space="preserve">Daviess </t>
  </si>
  <si>
    <t xml:space="preserve">Miller </t>
  </si>
  <si>
    <t xml:space="preserve">Minnehaha </t>
  </si>
  <si>
    <t xml:space="preserve">Monroe </t>
  </si>
  <si>
    <t xml:space="preserve">Nassau </t>
  </si>
  <si>
    <t xml:space="preserve">Niagara </t>
  </si>
  <si>
    <t xml:space="preserve">Oldham </t>
  </si>
  <si>
    <t xml:space="preserve">Orange </t>
  </si>
  <si>
    <t xml:space="preserve">Osceola </t>
  </si>
  <si>
    <t xml:space="preserve">Otero </t>
  </si>
  <si>
    <t xml:space="preserve">Baker </t>
  </si>
  <si>
    <t xml:space="preserve">Montgomery </t>
  </si>
  <si>
    <t xml:space="preserve">Pennington </t>
  </si>
  <si>
    <t xml:space="preserve">Phelps </t>
  </si>
  <si>
    <t xml:space="preserve">Pickens </t>
  </si>
  <si>
    <t xml:space="preserve">Pierce </t>
  </si>
  <si>
    <t xml:space="preserve">Pinellas </t>
  </si>
  <si>
    <t xml:space="preserve">Platte </t>
  </si>
  <si>
    <t xml:space="preserve">Polk </t>
  </si>
  <si>
    <t xml:space="preserve">Pottawattamie </t>
  </si>
  <si>
    <t xml:space="preserve">Potter </t>
  </si>
  <si>
    <t xml:space="preserve">Seminole </t>
  </si>
  <si>
    <t xml:space="preserve">Putnam </t>
  </si>
  <si>
    <t xml:space="preserve">Randall </t>
  </si>
  <si>
    <t xml:space="preserve">Rockingham </t>
  </si>
  <si>
    <t xml:space="preserve">Saline </t>
  </si>
  <si>
    <t xml:space="preserve">Salt Lake </t>
  </si>
  <si>
    <t xml:space="preserve">Butler </t>
  </si>
  <si>
    <t xml:space="preserve">Santa Rosa </t>
  </si>
  <si>
    <t xml:space="preserve">Moffat </t>
  </si>
  <si>
    <t xml:space="preserve">Sarpy </t>
  </si>
  <si>
    <t xml:space="preserve">Sauk </t>
  </si>
  <si>
    <t xml:space="preserve">Sebastian </t>
  </si>
  <si>
    <t xml:space="preserve">Seneca </t>
  </si>
  <si>
    <t xml:space="preserve">Karnes </t>
  </si>
  <si>
    <t xml:space="preserve">Sherburne </t>
  </si>
  <si>
    <t xml:space="preserve">Sioux </t>
  </si>
  <si>
    <t xml:space="preserve">St. Lucie </t>
  </si>
  <si>
    <t xml:space="preserve">Harris </t>
  </si>
  <si>
    <t xml:space="preserve">Sumter </t>
  </si>
  <si>
    <t xml:space="preserve">Sweetwater </t>
  </si>
  <si>
    <t xml:space="preserve">Cobb </t>
  </si>
  <si>
    <t xml:space="preserve">Teller </t>
  </si>
  <si>
    <t xml:space="preserve">Titus </t>
  </si>
  <si>
    <t xml:space="preserve">Toole </t>
  </si>
  <si>
    <t xml:space="preserve">Adams </t>
  </si>
  <si>
    <t xml:space="preserve">Uinta </t>
  </si>
  <si>
    <t xml:space="preserve">Union </t>
  </si>
  <si>
    <t xml:space="preserve">Henderson </t>
  </si>
  <si>
    <t xml:space="preserve">Wakulla </t>
  </si>
  <si>
    <t xml:space="preserve">Walton </t>
  </si>
  <si>
    <t xml:space="preserve">Ward </t>
  </si>
  <si>
    <t xml:space="preserve">Taylor </t>
  </si>
  <si>
    <t xml:space="preserve">Webb </t>
  </si>
  <si>
    <t xml:space="preserve">Weber </t>
  </si>
  <si>
    <t xml:space="preserve">Whitfield </t>
  </si>
  <si>
    <t xml:space="preserve">Woodbury </t>
  </si>
  <si>
    <t xml:space="preserve">New Hanover </t>
  </si>
  <si>
    <t xml:space="preserve">Yellowstone </t>
  </si>
  <si>
    <t xml:space="preserve">Zavala </t>
  </si>
  <si>
    <t xml:space="preserve">Hancock </t>
  </si>
  <si>
    <t xml:space="preserve">Kay </t>
  </si>
  <si>
    <t xml:space="preserve">Pike </t>
  </si>
  <si>
    <t xml:space="preserve">Scotts Bluff </t>
  </si>
  <si>
    <t xml:space="preserve">Hall </t>
  </si>
  <si>
    <t>St. John's County Jail</t>
  </si>
  <si>
    <t>St. Mary's County Detention Center</t>
  </si>
  <si>
    <t>St. John's</t>
  </si>
  <si>
    <t>St. Mary's</t>
  </si>
  <si>
    <t>Allen</t>
  </si>
  <si>
    <t>Broadview</t>
  </si>
  <si>
    <t>Elizabeth</t>
  </si>
  <si>
    <t>Buffalo</t>
  </si>
  <si>
    <t>Fultonville</t>
  </si>
  <si>
    <t>Elizabeth Contract Detention Facility</t>
  </si>
  <si>
    <t>Montgomery County Mac Sim Butler Detention Facility</t>
  </si>
  <si>
    <t>Texarkana</t>
  </si>
  <si>
    <t>St Luke's Health - The Woodlands</t>
  </si>
  <si>
    <t>Polk</t>
  </si>
  <si>
    <t>Dilley</t>
  </si>
  <si>
    <t>South Texas Family Residential Center</t>
  </si>
  <si>
    <t>Alamosa</t>
  </si>
  <si>
    <t>Amarillo</t>
  </si>
  <si>
    <t>Athens</t>
  </si>
  <si>
    <t>Austin</t>
  </si>
  <si>
    <t>Baltimore</t>
  </si>
  <si>
    <t>Birmingham</t>
  </si>
  <si>
    <t>Billings</t>
  </si>
  <si>
    <t>Lorton</t>
  </si>
  <si>
    <t>Portland</t>
  </si>
  <si>
    <t>St. George</t>
  </si>
  <si>
    <t>Punta Gorda</t>
  </si>
  <si>
    <t>San Luis Obispo</t>
  </si>
  <si>
    <t>Collier</t>
  </si>
  <si>
    <t>Laramie</t>
  </si>
  <si>
    <t>Pike</t>
  </si>
  <si>
    <t>Washoe</t>
  </si>
  <si>
    <t>Raymondville</t>
  </si>
  <si>
    <t>Anson</t>
  </si>
  <si>
    <t>Pompano Beach</t>
  </si>
  <si>
    <t>Aurora</t>
  </si>
  <si>
    <t>Basile</t>
  </si>
  <si>
    <t>Clearfield </t>
  </si>
  <si>
    <t>Philipsburg</t>
  </si>
  <si>
    <t>Orlando</t>
  </si>
  <si>
    <t>Richmond</t>
  </si>
  <si>
    <t>Tampa</t>
  </si>
  <si>
    <t>Mcallen</t>
  </si>
  <si>
    <t>Laredo</t>
  </si>
  <si>
    <t>Phoenix District Office</t>
  </si>
  <si>
    <t>Memphis</t>
  </si>
  <si>
    <t>Waco</t>
  </si>
  <si>
    <t>Tallahassee</t>
  </si>
  <si>
    <t>Fresno</t>
  </si>
  <si>
    <t>Philadelphia</t>
  </si>
  <si>
    <t>New York City</t>
  </si>
  <si>
    <t>Boston</t>
  </si>
  <si>
    <t>Oklahoma City</t>
  </si>
  <si>
    <t>Kansas City</t>
  </si>
  <si>
    <t>San Antonio</t>
  </si>
  <si>
    <t>Indianapolis</t>
  </si>
  <si>
    <t>Cleveland</t>
  </si>
  <si>
    <t>Craig</t>
  </si>
  <si>
    <t>Wichita</t>
  </si>
  <si>
    <t>Raleigh</t>
  </si>
  <si>
    <t>Seattle</t>
  </si>
  <si>
    <t>Tucson</t>
  </si>
  <si>
    <t>Chattanooga</t>
  </si>
  <si>
    <t>Stuart</t>
  </si>
  <si>
    <t>Mobile</t>
  </si>
  <si>
    <t>Pittsburgh</t>
  </si>
  <si>
    <t>Salisbury</t>
  </si>
  <si>
    <t>Milwaukee</t>
  </si>
  <si>
    <t>Albuquerque</t>
  </si>
  <si>
    <t>Ogden</t>
  </si>
  <si>
    <t>Spokane</t>
  </si>
  <si>
    <t>Shreveport</t>
  </si>
  <si>
    <t>Provo</t>
  </si>
  <si>
    <t>Greer</t>
  </si>
  <si>
    <t>Harrisonburg</t>
  </si>
  <si>
    <t>Boise</t>
  </si>
  <si>
    <t>Detroit</t>
  </si>
  <si>
    <t>Louisville</t>
  </si>
  <si>
    <t>Reno</t>
  </si>
  <si>
    <t>Syracuse</t>
  </si>
  <si>
    <t>Eugene</t>
  </si>
  <si>
    <t>Des Moines</t>
  </si>
  <si>
    <t>Nashville</t>
  </si>
  <si>
    <t>Fayetteville</t>
  </si>
  <si>
    <t>Cedar Rapids</t>
  </si>
  <si>
    <t>Columbus</t>
  </si>
  <si>
    <t>Wenatchee</t>
  </si>
  <si>
    <t>Saint Albans</t>
  </si>
  <si>
    <t>Las Cruces</t>
  </si>
  <si>
    <t>Idaho Falls</t>
  </si>
  <si>
    <t>Rapid City</t>
  </si>
  <si>
    <t>Sioux City</t>
  </si>
  <si>
    <t>Glenwood Springs</t>
  </si>
  <si>
    <t>Champlain</t>
  </si>
  <si>
    <t>Durango</t>
  </si>
  <si>
    <t>Fort Smith</t>
  </si>
  <si>
    <t>Cincinnati</t>
  </si>
  <si>
    <t>Bowling Green</t>
  </si>
  <si>
    <t>Hendersonville</t>
  </si>
  <si>
    <t>Batavia</t>
  </si>
  <si>
    <t>Los Fresnos</t>
  </si>
  <si>
    <t>Grand Island</t>
  </si>
  <si>
    <t>NC *(could also be AR</t>
  </si>
  <si>
    <t xml:space="preserve"> but ICE usage is NC)*</t>
  </si>
  <si>
    <t>MD *(could be NC</t>
  </si>
  <si>
    <t xml:space="preserve"> but ICE usage is MD)*</t>
  </si>
  <si>
    <t>Colorado Springs</t>
  </si>
  <si>
    <t>St. Thomas</t>
  </si>
  <si>
    <t>Northwest I.C.E. Processing Center</t>
  </si>
  <si>
    <t>Tacoma</t>
  </si>
  <si>
    <t>Hennepin </t>
  </si>
  <si>
    <t>Salt Lake City</t>
  </si>
  <si>
    <t>Robstown</t>
  </si>
  <si>
    <t>Fort Myers</t>
  </si>
  <si>
    <t>Little Rock</t>
  </si>
  <si>
    <t>Las Vegas</t>
  </si>
  <si>
    <t>San Angelo</t>
  </si>
  <si>
    <t>Santa Maria</t>
  </si>
  <si>
    <t>Lovejoy</t>
  </si>
  <si>
    <t>Bakersfield</t>
  </si>
  <si>
    <t>Swanton</t>
  </si>
  <si>
    <t>Jacksonville</t>
  </si>
  <si>
    <t>Wyatt</t>
  </si>
  <si>
    <t>St. Louis</t>
  </si>
  <si>
    <t>Central Islip</t>
  </si>
  <si>
    <t>Midland,</t>
  </si>
  <si>
    <t>Lee</t>
  </si>
  <si>
    <t>Carolina</t>
  </si>
  <si>
    <t>Youngstown</t>
  </si>
  <si>
    <t>Guaynabo</t>
  </si>
  <si>
    <t>NORTH PRINCE GEORGE</t>
  </si>
  <si>
    <t>Chandler Regional Medical Center</t>
  </si>
  <si>
    <t>Piedmont Regional Jail</t>
  </si>
  <si>
    <t>Riverside Regional Jail</t>
  </si>
  <si>
    <t>Sw Virginia Regional Jail Auth-Abg Fac</t>
  </si>
  <si>
    <t>Corrections Center of NW Ohio</t>
  </si>
  <si>
    <t>NW Regional Corrections Center</t>
  </si>
  <si>
    <t>Rapp Security Center</t>
  </si>
  <si>
    <t>Moundsville</t>
  </si>
  <si>
    <t>Springfield</t>
  </si>
  <si>
    <t>Mesa</t>
  </si>
  <si>
    <t>NYC Hold Room</t>
  </si>
  <si>
    <t>McAllen Hold Room</t>
  </si>
  <si>
    <t>Hancock County Public Safety Complex</t>
  </si>
  <si>
    <t>Ozark County Sheriff's Office</t>
  </si>
  <si>
    <t>Dorchester County Detention Center</t>
  </si>
  <si>
    <t>Cobb County Sherrif's Office Adult Detention Center</t>
  </si>
  <si>
    <t>Cibola County Detention Center</t>
  </si>
  <si>
    <t>Pickens County Detention Center</t>
  </si>
  <si>
    <t>Campbell County Detention Center</t>
  </si>
  <si>
    <t>Sebastian County Detention Center</t>
  </si>
  <si>
    <t>Lincoln County Sheriff's</t>
  </si>
  <si>
    <t>Department of Corrections-Hagatna</t>
  </si>
  <si>
    <t>Hagatna</t>
  </si>
  <si>
    <t>Ferriday</t>
  </si>
  <si>
    <t>NW Regional Juvenile Detention Center</t>
  </si>
  <si>
    <t>type</t>
  </si>
  <si>
    <t>West Kendall Baptist Hospital</t>
  </si>
  <si>
    <t>Memorial Hermann Ne Hospital</t>
  </si>
  <si>
    <t>Beth Israel Deaconess Hospital</t>
  </si>
  <si>
    <t>Presbyterian Hospital Abq</t>
  </si>
  <si>
    <t>Atlanta Pre-Trial Detention Center</t>
  </si>
  <si>
    <t>Guaynabo Metropolitan Detention Center (San Juan)</t>
  </si>
  <si>
    <t>U.S. Penetentiary Canaan</t>
  </si>
  <si>
    <t>Lompoc U.S. Penetentiary</t>
  </si>
  <si>
    <t>Leavenworth U.S. Penetentiary</t>
  </si>
  <si>
    <t>Row Labels</t>
  </si>
  <si>
    <t>Grand Total</t>
  </si>
  <si>
    <t>Nashville Comm. Correction</t>
  </si>
  <si>
    <t>Taylor County Adult Detention</t>
  </si>
  <si>
    <t>Plymouth County Correctional Facility</t>
  </si>
  <si>
    <t>JFK International Airport - T7</t>
  </si>
  <si>
    <t>Chippewa County, SSM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</si>
</sst>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E8E8E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9" fontId="0" fillId="0" borderId="0" xfId="1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" refreshedDate="46108.748309374998" createdVersion="8" refreshedVersion="8" minRefreshableVersion="3" recordCount="649" xr:uid="{95D40D53-33AF-494E-82A2-07832FFBA4C7}">
  <cacheSource type="worksheet">
    <worksheetSource ref="A2:J651" sheet="Sheet1"/>
  </cacheSource>
  <cacheFields count="10">
    <cacheField name="detention_facility_first" numFmtId="0">
      <sharedItems/>
    </cacheField>
    <cacheField name="cleaned_facility_name" numFmtId="0">
      <sharedItems count="643">
        <s v="Alexandria Staging Facility"/>
        <s v="Port Isabel Service Processing Center"/>
        <s v="Florence Staging Facility"/>
        <s v="Pine Prairie I.C.E. Processing Center"/>
        <s v="Montgomery Processing Center"/>
        <s v="Eloy Fed Center Facility (Corrections Corporation of America)"/>
        <s v="Otay Mesa Detention Center"/>
        <s v="South Texas I.C.E. Processing Center"/>
        <s v="Stewart Detention Center"/>
        <s v="Winn Correctional Center"/>
        <s v="Florence Service Processing Center"/>
        <s v="Adams County Correctional Center"/>
        <s v="Prairieland Detention Center"/>
        <s v="Krome North Service Processing Center"/>
        <s v="El Paso Service Processing Center"/>
        <s v="Karnes County Immigration Process Center"/>
        <s v="Dallas F.O. Hold"/>
        <s v="Otero County Processing Center"/>
        <s v="Central Louisiana I.C.E. Processing Center"/>
        <s v="Jackson Parish Correctional Center"/>
        <s v="Montgomery Hold Room"/>
        <s v="El Valle Detention Facility"/>
        <s v="Bluebonnet Detention Facility"/>
        <s v="Cook Inlet Pre-Trial, Anch"/>
        <s v="Joe Corley Processing Center"/>
        <s v="IAH Secure Adult Detention Facility"/>
        <s v="Ketchikan Regional Cc"/>
        <s v="South Louisiana I.C.E. Processing Center"/>
        <s v="Denver Contract Detention Facility"/>
        <s v="Moshannon Valley Processing Center"/>
        <s v="Houston Contract Detention Facility"/>
        <s v="Lemon Creek, Juneau,Ak"/>
        <s v="Richwood Correctional Center"/>
        <s v="Phoenix District Office"/>
        <s v="Los Cust Case"/>
        <s v="Az Rem Op Coord Center (Arocc)"/>
        <s v="Atlanta Dist. Hold Room"/>
        <s v="Rio Grande Detention Center"/>
        <s v="Broadview Service Staging"/>
        <s v="Elizabeth Contract Detention Facility"/>
        <s v="NYC Hold Room"/>
        <s v="Folkston Main I.C.E. Processing Center"/>
        <s v="Buffalo Service Processing Center"/>
        <s v="Northwest I.C.E. Processing Center"/>
        <s v="Miami Staging Facility"/>
        <s v="Imperial Regional Adult Detention Facility"/>
        <s v="Krome Hold Room"/>
        <s v="San Antonio DRO Hold Room"/>
        <s v="Orlando Hold Room"/>
        <s v="Richmond Sub-Office Hold"/>
        <s v="Matsu Pre-Trial, Palmer Ak"/>
        <s v="Alamo Police Department"/>
        <s v="Tampa Hold Room"/>
        <s v="Snd District Staging"/>
        <s v="Alvarado Parkway Institute"/>
        <s v="San Luis Regional Detention Center"/>
        <s v="Austin DRO Hold Room"/>
        <s v="Pickens County Detention Center"/>
        <s v="Washington Field Office"/>
        <s v="McAllen Hold Room"/>
        <s v="Laredo Processing Center"/>
        <s v="Allen Parish Public Safety Complex"/>
        <s v="Farmville Detention Center"/>
        <s v="Harlingen Hold Room"/>
        <s v="Baker County Sheriff Department"/>
        <s v="T Don Hutto Detention Center"/>
        <s v="Webb County Detention Center (Corrections Corporation of America)"/>
        <s v="Indianapolis Hold Room"/>
        <s v="Corrections Corporation of America, Florence Correctional Center"/>
        <s v="River Correctional Center"/>
        <s v="Bay County"/>
        <s v="Nevada Southern Detention Center"/>
        <s v="Bi Incororated, Geo Group Company"/>
        <s v="Bishop Henry Whipple Federal Building"/>
        <s v="Adelanto I.C.E. Processing Center"/>
        <s v="Salt Lake City Hold Room"/>
        <s v="Alamance County Detention Facility"/>
        <s v="Boston Hold Room"/>
        <s v="Atlanta U.S. Penitentiary"/>
        <s v="Pinellas County Jail"/>
        <s v="Folkston Annex I.C.E. Processing Center"/>
        <s v="Oklahoma City Hold Room."/>
        <s v="Delaney Hall Detention Facility"/>
        <s v="Baltimore Hold Room"/>
        <s v="Caroline Detention Facility"/>
        <s v="Miami (Miramar) Hold Room"/>
        <s v="Orange County Jail"/>
        <s v="Tulsa County Jail"/>
        <s v="U.S. Penetentiary Canaan"/>
        <s v="Coastal Bend Detention Facility"/>
        <s v="Eden Detention Center"/>
        <s v="Knox County Detention Facility"/>
        <s v="Dallas County Jail-Lew Sterrett"/>
        <s v="Bakerfield Hold"/>
        <s v="Santa Ana DRO Hold Room"/>
        <s v="Cibola County Correctional Center"/>
        <s v="Nashville Comm. Correction"/>
        <s v="Ursula Centralized Processing Center"/>
        <s v="Charlotte Hold Room"/>
        <s v="Pike County Jail"/>
        <s v="Devens Fmc"/>
        <s v="Omaha Fo Hold"/>
        <s v="Ventura Custody Case"/>
        <s v="Mount Laurel Hold Room"/>
        <s v="Etowah County Jail (Al)"/>
        <s v="Boone County Jail"/>
        <s v="San Bernardino Hold Room"/>
        <s v="Guaynabo Metropolitan Detention Center (San Juan)"/>
        <s v="Memphis Hold Room"/>
        <s v="Cimarron Correctional Facility"/>
        <s v="Phi District Office"/>
        <s v="Lompoc U.S. Penetentiary"/>
        <s v="Chase County Jail"/>
        <s v="Waco DRO Hold Room"/>
        <s v="Tallahassee Hold Room"/>
        <s v="Fresno Hold Room"/>
        <s v="Greene County Jail"/>
        <s v="Federal Detention Center Philadelphia"/>
        <s v="Charleston, Sc Hold Room"/>
        <s v="Kansas City Hold Room"/>
        <s v="Denver Hold Room"/>
        <s v="Dodge County Jail, Juneau"/>
        <s v="Leavenworth U.S. Penetentiary"/>
        <s v="North Lake Correctional Facility"/>
        <s v="Raleigh Hold Room"/>
        <s v="Seattle Field Office Hold Room"/>
        <s v="Desert View Annex"/>
        <s v="Laredo Detention Center Hold Room"/>
        <s v="San Juan Staging"/>
        <s v="Salt Lake County Jail"/>
        <s v="Calhomi Calhoun County, Battle Cr,Mi"/>
        <s v="Fort Myers E.R.O. Hold Room"/>
        <s v="Kandiyohi County Jail"/>
        <s v="Little Rock Hold Room"/>
        <s v="Miami Federal detention centers"/>
        <s v="Jacksonville Sub-Office"/>
        <s v="California Men Colony, West"/>
        <s v="Madison County Jail, Ms."/>
        <s v="Nassau County Correctional Center"/>
        <s v="Tucson Ins Hold Room"/>
        <s v="Las Vegas Hold Room"/>
        <s v="Glades County Detention Center"/>
        <s v="Riverside Regional Jail"/>
        <s v="Jackson Ms Hold Room"/>
        <s v="Butler County Jail"/>
        <s v="Limestone Detention Center"/>
        <s v="San Angelo Hold Room"/>
        <s v="Santa Maria Sub Office Ero"/>
        <s v="SFR Hold Room"/>
        <s v="Walton County Jail"/>
        <s v="Wyatt Detention Center"/>
        <s v="Knoxville Hold Room"/>
        <s v="Washington County Jail"/>
        <s v="Corrections Corporation of America Northeast Oh Corrects"/>
        <s v="South Texas/Pearsall Hold Room"/>
        <s v="Lexington County Jail"/>
        <s v="Val Verde Detention Center"/>
        <s v="Baker Correctional Institute"/>
        <s v="St. Louis Hold Room"/>
        <s v="Central Islip Hold Room"/>
        <s v="Robert A Deyton Detention Fac"/>
        <s v="Mesa Verde I.C.E. Processing Center"/>
        <s v="Northwest State Correctional Center."/>
        <s v="East Hidalgo Detention Center"/>
        <s v="Hartford Office"/>
        <s v="York Hold Room"/>
        <s v="Folkston D Ray I.C.E. Processing Center"/>
        <s v="Seneca County Jail"/>
        <s v="Oldham County Jail"/>
        <s v="Chattanooga Hold Room"/>
        <s v="St. Clair County Jail"/>
        <s v="Strafford County Department of Corrections"/>
        <s v="Amarillo Hold Room"/>
        <s v="Stuart Hold Room"/>
        <s v="Grayson County Detention Center"/>
        <s v="Chippewa County, Ssm"/>
        <s v="Freeborn County Jail, Mn"/>
        <s v="Houston Fo Hold Room"/>
        <s v="Mobile Hold Room"/>
        <s v="Lubbock Hold Room"/>
        <s v="Washoe County Jail"/>
        <s v="Midland, TX E.R.O. Hold Room"/>
        <s v="Courthouse Usm Cntl Islip"/>
        <s v="Pittsburgh Hold Room"/>
        <s v="San Juan Airport Hold Room"/>
        <s v="La Salle County Regional Detention Center"/>
        <s v="Clinton County Correctional Facility"/>
        <s v="Salisbury Hold Room"/>
        <s v="Stockton Staging Facility"/>
        <s v="Federal Correctional Institution Berlin"/>
        <s v="Ste. Genevieve County Sheriff/Jail"/>
        <s v="Tulsa Hold Room"/>
        <s v="Pecos Hold Room"/>
        <s v="Pottawattamie County Jail"/>
        <s v="Portland District Office"/>
        <s v="Marion County Jail"/>
        <s v="Clay County Justice Center"/>
        <s v="Sherburne County Jail"/>
        <s v="Norfolk Sub-Office Hold"/>
        <s v="Turner Guiford Knight (Tgk) Jail"/>
        <s v="Sacramento Hold"/>
        <s v="Del Rio DRO Hold Room"/>
        <s v="Polk County Jail"/>
        <s v="Roswell Hold Room"/>
        <s v="Mahoning County Jail"/>
        <s v="Cal City I.C.E. Processing Center"/>
        <s v="Big Spring Hold Room"/>
        <s v="Newburgh Holding"/>
        <s v="Dover Hold Room"/>
        <s v="Jefferson County Jail"/>
        <s v="Geauga County Jail (Geaugoh)"/>
        <s v="Milwaukee Hold Room"/>
        <s v="Albuquerque Hold Room"/>
        <s v="Lubbock County Jail"/>
        <s v="Uinta County Jail"/>
        <s v="Broward County Jail"/>
        <s v="Ogden Hold Room"/>
        <s v="Larkin Hospital"/>
        <s v="Shreveport Hold Room"/>
        <s v="Spokane Hold Room"/>
        <s v="Honolulu Federal Detention Center"/>
        <s v="Cumberland County Jail"/>
        <s v="Provo Hold Room"/>
        <s v="Erie County Jail, Pa"/>
        <s v="South Central Regional Jail"/>
        <s v="San Juan Sub-Office Hold Room"/>
        <s v="Chittenden Reg. Correctional Facility"/>
        <s v="Prohold"/>
        <s v="Fayette County Detention Center"/>
        <s v="Pike County E.R.O. Hold Room"/>
        <s v="Tooele County Jail"/>
        <s v="Columbia, Sc Hold Room"/>
        <s v="Baldwin County Correctional Center"/>
        <s v="Lompoc Federal Correctional Institution"/>
        <s v="Pueblo Hold Room"/>
        <s v="Columbia Care Center"/>
        <s v="Birmingham Hold Room"/>
        <s v="Yakima Sub-Office"/>
        <s v="Greer Hold Room"/>
        <s v="Yuma Hold Room"/>
        <s v="Frederick Hold Room"/>
        <s v="Imperial Sub Office Hold Room"/>
        <s v="Platte County Jail"/>
        <s v="Collier County Sheriff"/>
        <s v="Rock Island Hold Room"/>
        <s v="Logan County Jail"/>
        <s v="Dakota County Jail"/>
        <s v="New/Ins Os Hold Room"/>
        <s v="Florence Hospital"/>
        <s v="Hopkins County Jail"/>
        <s v="Miller County Jail"/>
        <s v="E.R.O. Hold Room (Springfield Mo)"/>
        <s v="Albany Hold Room"/>
        <s v="Northern Regional Jail"/>
        <s v="Chavez Detention Center"/>
        <s v="Chi St Luke'S H M Lufkin"/>
        <s v="Campbell County Detention Center"/>
        <s v="New Hanover County Detention Center"/>
        <s v="Sebastian County Detention Center"/>
        <s v="Harrisonburg Hold Room"/>
        <s v="Woodbury County Jail"/>
        <s v="Boise Hold Room"/>
        <s v="Phelps County Jail"/>
        <s v="Western Virginia Regional Jail"/>
        <s v="Corrections Center of NW Ohio"/>
        <s v="Karnes County Correctional Center"/>
        <s v="Roanoke Sub-Office Hold Room"/>
        <s v="Minnehaha County Jail"/>
        <s v="Central Valley Annex"/>
        <s v="Minicassia Detention Center"/>
        <s v="Corpus Christi Eor Hold Room"/>
        <s v="St. George, Ut Hold Room"/>
        <s v="Chicago Hold Room"/>
        <s v="Floyd County Jail"/>
        <s v="Elmore County Jail"/>
        <s v="Finney County Jail"/>
        <s v="Douglas County Wisconsin"/>
        <s v="Clark County Jail"/>
        <s v="Montgomery County Jail"/>
        <s v="Waukesha County Jail"/>
        <s v="Kenton County Detention Center"/>
        <s v="Edinburg Police Department"/>
        <s v="Dorchester County Detention Center"/>
        <s v="Detroit Hold Room"/>
        <s v="La Paz County Adult Detention Facility"/>
        <s v="El Paso Soft Sided Facility"/>
        <s v="Natrona County Jail"/>
        <s v="Rockingham County Jail"/>
        <s v="Aguadilla Service Processing Center"/>
        <s v="Osceola County Jail"/>
        <s v="Grand Rapids Hold Room"/>
        <s v="Texarkana Hold Room"/>
        <s v="Clinton County Jail"/>
        <s v="New Orleans Hold Room"/>
        <s v="Grand Junction Hold Room"/>
        <s v="Lincoln County Jail"/>
        <s v="Hca Florida Kendall Hospital"/>
        <s v="Sarasota County Jail"/>
        <s v="El Paso County Detention Facility"/>
        <s v="Grand Forks Hold Room"/>
        <s v="Louisville Hold Room"/>
        <s v="E.R.O. El Paso Camp East Montana"/>
        <s v="Sweetwater County Jail"/>
        <s v="Nelson Coleman Corrections Center"/>
        <s v="Rio Grande Valley Staging"/>
        <s v="Laurel County Corrections"/>
        <s v="Tom Green Cty Jail"/>
        <s v="Victor Valley Global Medical Center"/>
        <s v="Martin County Jail"/>
        <s v="Reno Hold Room"/>
        <s v="Midland Detention Center"/>
        <s v="Linn County Jail"/>
        <s v="Charlotte Ci, Punta Gorda"/>
        <s v="Prairieland Suboffice Hold Room"/>
        <s v="Ft Lauderdale Behavor Health Center"/>
        <s v="Roanoke City Jail"/>
        <s v="Hardin County Jail"/>
        <s v="Broome County Jail"/>
        <s v="Manchester Hold Room"/>
        <s v="Buffalo Hold Room"/>
        <s v="Casper Hold Room"/>
        <s v="Eastern Regional Jail"/>
        <s v="Florida Soft-Sided Facility-South"/>
        <s v="Ferndale Hold Room"/>
        <s v="Louisiana I.C.E. Processing Center"/>
        <s v="Syracuse Hold Room"/>
        <s v="Sioux Falls Hold Room"/>
        <s v="NW Regional Corrections Center"/>
        <s v="Twin Falls Hold Room"/>
        <s v="Bourbon County Detention Center"/>
        <s v="Cobb County Sherrif's Office Adult Detention Center"/>
        <s v="Grand Forks County Correc"/>
        <s v="Eugene Hold Room"/>
        <s v="Redding Hold Room"/>
        <s v="Muscatine County Jail"/>
        <s v="Des Moines Hold Room"/>
        <s v="Valley Baptist Hospital"/>
        <s v="Williamsport Hold Room"/>
        <s v="Nashville Hold Room"/>
        <s v="Cheyenne Hold Room"/>
        <s v="University Hospital"/>
        <s v="Western Tennessee Detention Facility"/>
        <s v="Valleywise Health Medical Center"/>
        <s v="Brevard County Jail Complex"/>
        <s v="Fayetteville Hold Room"/>
        <s v="Randall County Jail"/>
        <s v="Garvin County Jail"/>
        <s v="Cedar Rapids Hold Room"/>
        <s v="Pennington County Jail Sd"/>
        <s v="Columbus Hold Room"/>
        <s v="Colo Springs Den Hsi Hold"/>
        <s v="Bell County Jail"/>
        <s v="Allegany County Jail"/>
        <s v="Mclennan County Jail"/>
        <s v="Golden State Annex"/>
        <s v="West Kendall Baptist Hospital"/>
        <s v="Titus County Jail"/>
        <s v="Charlotte Amalie Hold Room"/>
        <s v="Cass County Jail"/>
        <s v="Niagara County Jail"/>
        <s v="Burleigh County Jail, Nd"/>
        <s v="Wenatchee Hold Room"/>
        <s v="Richland Hold Room"/>
        <s v="El Paso Behavioral Health System"/>
        <s v="Larkin Behavioral Health Services"/>
        <s v="Anchorage Jail"/>
        <s v="Ward County Jail"/>
        <s v="Saint Albans Hold Room"/>
        <s v="Las Cruces Hold Room"/>
        <s v="Idaho Falls Hold Room"/>
        <s v="Department of Corrections-Hagatna"/>
        <s v="Hillsborough County Jail"/>
        <s v="Lexington Processing at Fayette Co"/>
        <s v="Hall County Sheriff"/>
        <s v="Cabarrus County Jail"/>
        <s v="Hca Houston Hc Conroe"/>
        <s v="Seminole County Jail"/>
        <s v="Rapid City Hold Room"/>
        <s v="Gaston County Jail"/>
        <s v="New York Presbyterian Hospital"/>
        <s v="Sioux City Hold Room"/>
        <s v="Athens, TX Hold Room"/>
        <s v="Saipan Department of Corrections"/>
        <s v="Sumter County Jail"/>
        <s v="Chesapeake City Jail"/>
        <s v="Jack Harwell Detention Center"/>
        <s v="Lake County Jail"/>
        <s v="Dsmc - Del Sol Medical Center"/>
        <s v="Paradise Valley Hospital"/>
        <s v="Miami Correctional Center"/>
        <s v="Mountain Vista Medical Center"/>
        <s v="Cleveland Hold Room"/>
        <s v="White Memorial Hospital"/>
        <s v="Maverick County Jail"/>
        <s v="Burnet County Jail"/>
        <s v="Teller County Jail"/>
        <s v="Victoria County Jail"/>
        <s v="Sarpy County Jail"/>
        <s v="Glenwood Springs Hold Room"/>
        <s v="Oakdale Holding Room"/>
        <s v="Hancock County Public Safety Complex"/>
        <s v="West Miami Dade Bapt Health Emerg"/>
        <s v="York County Detention Center"/>
        <s v="Memorial Hermann Ne Hospital"/>
        <s v="Portland, Me Hold Room"/>
        <s v="Craig Hold Room"/>
        <s v="El Paso County Jail (Tx)"/>
        <s v="St. John's County Jail"/>
        <s v="Broward General Medical Center"/>
        <s v="Harris County Psychiatric Center"/>
        <s v="Wichita Hold Room"/>
        <s v="Champlain Hold Room"/>
        <s v="Medford Sub-Office"/>
        <s v="Union County Jail"/>
        <s v="Cascade County Jail, Mt"/>
        <s v="Sw Virginia Regional Jail Auth-Abg Fac"/>
        <s v="Casa Grande Regional Medical Center"/>
        <s v="Laredo Medical Center"/>
        <s v="Brown County Jail"/>
        <s v="Henderson Detention"/>
        <s v="Metro Dade Jail"/>
        <s v="Christian County Jail"/>
        <s v="Frio Regional Hospital"/>
        <s v="Kinney County Jail"/>
        <s v="Alamosa Hold Room"/>
        <s v="Cache County Jail"/>
        <s v="Karnes County Civil Detention Facility"/>
        <s v="Two Bridges Regional Jail"/>
        <s v="B.R.R.J. Halifax"/>
        <s v="Dade Correctional Inst"/>
        <s v="Harlingen Police Department"/>
        <s v="E.R.O. Honolulu Sub-Office Hold Room"/>
        <s v="Pdn Hold Room"/>
        <s v="Miami Border Patrol"/>
        <s v="Durango Hold Room"/>
        <s v="Methodist Hospital Metropolitan"/>
        <s v="El Paso Long-Term Acute Care Hospital"/>
        <s v="Monroe County Jail"/>
        <s v="Uvalde County Jail"/>
        <s v="Bayamon Hospital"/>
        <s v="Weber County Jail"/>
        <s v="Fort Smith Hold Room"/>
        <s v="Franklin County Jail"/>
        <s v="Laramie County Jail"/>
        <s v="Haile Detention Center"/>
        <s v="Beth Israel Deaconess Hospital"/>
        <s v="Davis County Jail"/>
        <s v="Central Va Regional Jail"/>
        <s v="Desert Valley Hospital"/>
        <s v="Tex Health Huguley Hosp"/>
        <s v="NW Regional Juvenile Detention Center"/>
        <s v="Flagler County Jail"/>
        <s v="JFK International Ap - T7"/>
        <s v="Buffalo U.S.B.P. Hold Room"/>
        <s v="SNJ Hold Room"/>
        <s v="Kay County Justice Facility"/>
        <s v="Hendrick Medical Center"/>
        <s v="Orange County Global Medical Center"/>
        <s v="Grady Memorial Hospital"/>
        <s v="Cincinnati Hold Room"/>
        <s v="Bowling Green Hold Room"/>
        <s v="Garden City Processing at Finney Co"/>
        <s v="Hendersonville Hold Room"/>
        <s v="Krome/Miami Hub"/>
        <s v="Charleston County Correct"/>
        <s v="Hel District Custody"/>
        <s v="Henderson County Detention Facility"/>
        <s v="Springfield Federal Medical Center"/>
        <s v="Loyola Center For Health"/>
        <s v="Lincoln County Sheriff's"/>
        <s v="Jackson Memorial Hospital"/>
        <s v="Daviess County Detention Center"/>
        <s v="El Centro Regional Medical Center"/>
        <s v="Lirs - Lutheran Family Services Rocky Mountains Fort Collins Long Term Foster Care Co"/>
        <s v="Methodist Hospital Northeast"/>
        <s v="Sioux County Jail"/>
        <s v="Highland Mtn Correctional Center"/>
        <s v="Baptist Medical Center"/>
        <s v="Boston Service Processing Center"/>
        <s v="Loudoun County"/>
        <s v="Arizona State Prison - Yuma"/>
        <s v="Saipain Hold"/>
        <s v="Batavia Command Center Hold Room"/>
        <s v="Chandler Regional Medical Center"/>
        <s v="Rio Grande St.Hospital"/>
        <s v="Guam E.R.O. Hold Room"/>
        <s v="Nassau County Jail"/>
        <s v="Nassau Univ Medical Center"/>
        <s v="Alexandria City Jail"/>
        <s v="La Palma Correctional Center Apso"/>
        <s v="Palm Beach County Jail"/>
        <s v="Anchorage Sub-Office Hold Room"/>
        <s v="Campbell County Jail"/>
        <s v="Henderson Hospital"/>
        <s v="Methodist Hospital Stone Oak"/>
        <s v="Atlanta Pre-Trial Detention Center"/>
        <s v="Federal Correctional Institution Victorville"/>
        <s v="Christus Santa Rosa Hospital - Med"/>
        <s v="Jamaica Hospital Medical Center"/>
        <s v="Hartford Correctional Center"/>
        <s v="Monroe County Sheriff/Jail-Main"/>
        <s v="Whitfield County Jail"/>
        <s v="Scotts Bluff County Jail"/>
        <s v="Los Angeles Police Pd 77Th Division"/>
        <s v="Essex County Jail"/>
        <s v="Pierce County Jail"/>
        <s v="Saline County Jail"/>
        <s v="Etowah E.R.O. Hold Room"/>
        <s v="Palms Behavioral Health"/>
        <s v="Pam Health Specialty Hospital 1"/>
        <s v="Denver County Jail"/>
        <s v="Douglas County Detention Center"/>
        <s v="Parkland Hospital"/>
        <s v="Levy County Jail"/>
        <s v="Putnam County Jail"/>
        <s v="St. Lucie County Jail"/>
        <s v="Twin Falls County Jail"/>
        <s v="Yellowstone County Jail"/>
        <s v="St Luke's Health - The Woodlands"/>
        <s v="Tx Health Harris Meth Hosp"/>
        <s v="University of Maryland Medical Center"/>
        <s v="Columbia County Jail"/>
        <s v="Harlingen Medical Center"/>
        <s v="Charlotte County Jail"/>
        <s v="Lahey Hospital  and  Medical Center"/>
        <s v="Summit County Jail"/>
        <s v="Presbyterian Hospital Abq"/>
        <s v="Los Fresnos Hold Room"/>
        <s v="Manatee County Detention-Annex"/>
        <s v="Banner Medical Center Tucson"/>
        <s v="Gallatin County Jail"/>
        <s v="Norfolk City Jail"/>
        <s v="Mchenry County Sheriff'S"/>
        <s v="Phoenix Federal Corrections Institute"/>
        <s v="Hall County Jail"/>
        <s v="Maine Youth Center - Long Creek"/>
        <s v="Red River Hospital"/>
        <s v="Monroe County Detention-Dorm"/>
        <s v="Seatac Federal detention centers"/>
        <s v="Cibola County Detention Center"/>
        <s v="Culpeper County Adult Detention Center"/>
        <s v="Fond Du Lac County Sheriff/Jail"/>
        <s v="Hudson County Jail"/>
        <s v="Los Angeles County Jail-Twin Tower"/>
        <s v="Potter County Jail"/>
        <s v="Moffat County Jail"/>
        <s v="Nassau County I.C.E. Trailer"/>
        <s v="Toole County Jail"/>
        <s v="Wakulla County Jail"/>
        <s v="Northwest Regional Adult Detention"/>
        <s v="Nye County Sheriff-Pahrump"/>
        <s v="Otero County Detention"/>
        <s v="Middle River Regional Jail"/>
        <s v="Fishkill Correctional Facility Beacon Ny"/>
        <s v="Arapahoe County Jail"/>
        <s v="Lorton, Va Hold Room"/>
        <s v="Montgomery County Mac Sim Butler Detention Facility"/>
        <s v="Bradford County Jail"/>
        <s v="Cameron County Jail"/>
        <s v="Chesterfield County Jail"/>
        <s v="Citrus County Jail"/>
        <s v="Ozark County Sheriff's Office"/>
        <s v="Fairbanks Correctional Center"/>
        <s v="Hendry County Jail"/>
        <s v="Henrico County Jail"/>
        <s v="Pima County Jail"/>
        <s v="Lackawana County Jail, Pa"/>
        <s v="Peabody Pd"/>
        <s v="Okmulgee County Jail"/>
        <s v="Plymouth County Correctional Facility"/>
        <s v="Putnam County Sheriff"/>
        <s v="Pueblo County Jail"/>
        <s v="Central Washington Hospital"/>
        <s v="D. Ray James Prison"/>
        <s v="Harrison Detention Center"/>
        <s v="Prince William"/>
        <s v="Rolling Plains Detention Center"/>
        <s v="Limeston Medical Center"/>
        <s v="Rapp Security Center"/>
        <s v="La Paz Regional Hospital"/>
        <s v="Marian Regional Medical Center"/>
        <s v="Great Meadow Correctional Facility"/>
        <s v="Sauk County Sheriff"/>
        <s v="Santa Ana City Jail"/>
        <s v="South Texas Family Residential Center"/>
        <s v="Billings Hold Room"/>
        <s v="Grand Island Hold Room"/>
        <s v="Taylor County Adult Detention"/>
        <s v="Goose Creek Correctional Center"/>
        <s v="Anderson County Detention Center"/>
        <s v="Torrance/Estancia, Nm"/>
        <s v="Bergen County Jail"/>
        <s v="Suwannee County Jail"/>
        <s v="Forsyth County Jail"/>
        <s v="Frederick County Detention Center"/>
        <s v="Gooding County Jail"/>
        <s v="C.B.P. Movement Coordination Area"/>
        <s v="Hamilton County Jail (Tenn)"/>
        <s v="Hennepin County Medical Center"/>
        <s v="Hidalgo County Sheriff's Jail"/>
        <s v="U.S. Marshals Western District of Louisiana"/>
        <s v="Bartow County Jail"/>
        <s v="Morgantown Federal Corrections Institute"/>
        <s v="Petersburg Federal Corrections Institute"/>
        <s v="Virginia Beach"/>
        <s v="Vrk Prcs"/>
        <s v="McRae Correctional Facility, Corrections Corporation of America"/>
        <s v="Midland Memorial Hospital"/>
        <s v="Tucson Federal Corrections Institute"/>
        <s v="Walton County D.O.C."/>
        <s v="Rock Island County Jail"/>
        <s v="Salem County Correctional Facility"/>
        <s v="Santa Rosa County Jail"/>
        <s v="Ventura County Jail"/>
        <s v="York County Jail, Pa"/>
        <s v="Zavala County Jail"/>
        <s v="Franklin House of Corrections"/>
        <s v="Henry Ford Hospital"/>
        <s v="Washington County Detention"/>
        <s v="Integris Health Ponca City Hospita"/>
        <s v="John Peter Smith Hospital"/>
        <s v="Kent Hospital"/>
        <s v="Kodiak City Jail"/>
        <s v="Lakeside Medical Center"/>
        <s v="Maricopa Medical Center"/>
        <s v="Broward Transitional Center"/>
        <s v="Northeast Baptist Hospital"/>
        <s v="Northern Neck Regional Jail"/>
        <s v="Groveland Correctional Facility Sonyea"/>
        <s v="Marcy Correctional"/>
        <s v="Piedmont Regional Jail"/>
        <s v="Reading Hospital"/>
        <s v="South Bay Detention Facility"/>
        <s v="Sentara Careplex Hospital"/>
        <s v="Wvu Medicine Berkeley Medical Center"/>
        <s v="St. Mary's County Detention Center"/>
        <s v="Uchicago Medicine Hospital Chicago"/>
        <s v="Umass Memorial Medical Center"/>
        <s v="Virginia Peninsula Regional Jail"/>
        <s v="Potomac Highlands Regional Jail"/>
        <s v="Nashville Comm. Corr." u="1"/>
        <s v="Plymouth County Cor Facility" u="1"/>
        <s v="Taylor County Adult Det." u="1"/>
      </sharedItems>
    </cacheField>
    <cacheField name="facility_code" numFmtId="0">
      <sharedItems/>
    </cacheField>
    <cacheField name="state" numFmtId="0">
      <sharedItems containsBlank="1"/>
    </cacheField>
    <cacheField name="city" numFmtId="0">
      <sharedItems containsBlank="1"/>
    </cacheField>
    <cacheField name="COUNTY" numFmtId="0">
      <sharedItems containsBlank="1"/>
    </cacheField>
    <cacheField name="type" numFmtId="0">
      <sharedItems count="13">
        <s v="staging"/>
        <s v="processing"/>
        <s v="correctional"/>
        <s v="detention"/>
        <s v="hold"/>
        <s v=""/>
        <s v="sheriff/police"/>
        <s v="jail"/>
        <s v="prison"/>
        <s v="medical"/>
        <s v="staging facility" u="1"/>
        <s v="detention center" u="1"/>
        <s v="detention facility" u="1"/>
      </sharedItems>
    </cacheField>
    <cacheField name="count" numFmtId="0">
      <sharedItems containsSemiMixedTypes="0" containsString="0" containsNumber="1" containsInteger="1" minValue="1" maxValue="84941"/>
    </cacheField>
    <cacheField name="covered?" numFmtId="0">
      <sharedItems containsSemiMixedTypes="0" containsString="0" containsNumber="1" containsInteger="1" minValue="0" maxValue="3"/>
    </cacheField>
    <cacheField name="covered?2" numFmtId="0">
      <sharedItems containsSemiMixedTypes="0" containsString="0" containsNumber="1" containsInteger="1" minValue="0" maxValue="84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s v="ADAMS COUNTY CORRECTIONAL CENTER"/>
    <x v="0"/>
    <s v="JENATLA"/>
    <s v="LA"/>
    <s v="Alexandria"/>
    <m/>
    <x v="0"/>
    <n v="84941"/>
    <n v="2"/>
    <n v="84941"/>
  </r>
  <r>
    <s v="ADELANTO ICE PROCESSING CENTER"/>
    <x v="1"/>
    <s v="PIC"/>
    <s v="TX"/>
    <s v=" Los Fresnos"/>
    <m/>
    <x v="1"/>
    <n v="66973"/>
    <n v="2"/>
    <n v="66973"/>
  </r>
  <r>
    <s v="AGUADILLA SPC"/>
    <x v="2"/>
    <s v="FSF"/>
    <s v="AZ"/>
    <s v="Florence"/>
    <m/>
    <x v="0"/>
    <n v="65977"/>
    <n v="2"/>
    <n v="65977"/>
  </r>
  <r>
    <s v="ALAMANCE CO. DET. FACILITY"/>
    <x v="3"/>
    <s v="PINEPLA"/>
    <s v="LA"/>
    <s v="Pine Prairie"/>
    <m/>
    <x v="1"/>
    <n v="35285"/>
    <n v="2"/>
    <n v="35285"/>
  </r>
  <r>
    <s v="ALAMO POLICE DEPT."/>
    <x v="4"/>
    <s v="MTGPCTX"/>
    <s v="TX"/>
    <s v="Conroe"/>
    <s v="Montgomery "/>
    <x v="1"/>
    <n v="32270"/>
    <n v="3"/>
    <n v="32270"/>
  </r>
  <r>
    <s v="ALAMOSA HOLDROOM"/>
    <x v="5"/>
    <s v="EAZ"/>
    <s v="AZ"/>
    <s v="Eloy"/>
    <m/>
    <x v="2"/>
    <n v="28159"/>
    <n v="2"/>
    <n v="28159"/>
  </r>
  <r>
    <s v="ALBANY HOLDROOM"/>
    <x v="6"/>
    <s v="CCASDCA"/>
    <s v="CA"/>
    <s v="San Diego"/>
    <m/>
    <x v="3"/>
    <n v="27619"/>
    <n v="2"/>
    <n v="27619"/>
  </r>
  <r>
    <s v="ALBUQUERQUE HOLD ROOM"/>
    <x v="7"/>
    <s v="STCDFTX"/>
    <s v="TX"/>
    <s v="Pearsall"/>
    <m/>
    <x v="1"/>
    <n v="27318"/>
    <n v="2"/>
    <n v="27318"/>
  </r>
  <r>
    <s v="ALEXANDRIA CITY JAIL"/>
    <x v="8"/>
    <s v="STWRTGA"/>
    <s v="GA"/>
    <s v="Lumpkin"/>
    <m/>
    <x v="3"/>
    <n v="26209"/>
    <n v="2"/>
    <n v="26209"/>
  </r>
  <r>
    <s v="ALEXANDRIA STAGING FACILITY"/>
    <x v="9"/>
    <s v="LAWINCI"/>
    <s v="LA"/>
    <s v="Winnfield"/>
    <m/>
    <x v="2"/>
    <n v="25935"/>
    <n v="2"/>
    <n v="25935"/>
  </r>
  <r>
    <s v="ALLEGANY COUNTY JAIL"/>
    <x v="10"/>
    <s v="FLO"/>
    <s v="AZ"/>
    <s v="Florence"/>
    <m/>
    <x v="1"/>
    <n v="25888"/>
    <n v="2"/>
    <n v="25888"/>
  </r>
  <r>
    <s v="ALLEN PARISH PUBLIC SAFETY COMPLEX"/>
    <x v="11"/>
    <s v="ADAMSMS"/>
    <s v="MS"/>
    <s v="Natchez"/>
    <s v="Adams "/>
    <x v="2"/>
    <n v="25721"/>
    <n v="3"/>
    <n v="25721"/>
  </r>
  <r>
    <s v="ALVARADO PARKWAY INSTITUTE"/>
    <x v="12"/>
    <s v="PRLDCTX"/>
    <s v="TX"/>
    <s v="Alvarado"/>
    <m/>
    <x v="3"/>
    <n v="25666"/>
    <n v="2"/>
    <n v="25666"/>
  </r>
  <r>
    <s v="AMARILLO HOLD ROOM"/>
    <x v="13"/>
    <s v="KRO"/>
    <s v="FL"/>
    <s v="Miami"/>
    <m/>
    <x v="1"/>
    <n v="25522"/>
    <n v="2"/>
    <n v="25522"/>
  </r>
  <r>
    <s v="ANCHORAGE JAIL"/>
    <x v="14"/>
    <s v="EPC"/>
    <s v="TX"/>
    <s v="El Paso"/>
    <m/>
    <x v="1"/>
    <n v="22591"/>
    <n v="2"/>
    <n v="22591"/>
  </r>
  <r>
    <s v="ANCHORAGE SUB-OFFICE HOLD ROOM"/>
    <x v="15"/>
    <s v="KRNRCTX"/>
    <s v="TX"/>
    <m/>
    <s v="Karnes "/>
    <x v="1"/>
    <n v="21935"/>
    <n v="2"/>
    <n v="21935"/>
  </r>
  <r>
    <s v="ANDERSON COUNTY DET CENTER"/>
    <x v="16"/>
    <s v="DALHOLD"/>
    <s v="TX"/>
    <s v="Dallas"/>
    <m/>
    <x v="4"/>
    <n v="21680"/>
    <n v="2"/>
    <n v="21680"/>
  </r>
  <r>
    <s v="ARAPAHOE COUNTY JAIL"/>
    <x v="17"/>
    <s v="OTRPCNM"/>
    <s v="NM"/>
    <m/>
    <s v="Otero "/>
    <x v="1"/>
    <n v="21573"/>
    <n v="2"/>
    <n v="21573"/>
  </r>
  <r>
    <s v="ARIZONA STATE PRISON - YUMA"/>
    <x v="18"/>
    <s v="JENADLA"/>
    <s v="LA"/>
    <s v="Pine Prairie"/>
    <m/>
    <x v="1"/>
    <n v="21503"/>
    <n v="2"/>
    <n v="21503"/>
  </r>
  <r>
    <s v="ATHENS, TX HOLD ROOM"/>
    <x v="19"/>
    <s v="JKPCCLA"/>
    <s v="LA"/>
    <m/>
    <s v="Jackson"/>
    <x v="2"/>
    <n v="21503"/>
    <n v="2"/>
    <n v="21503"/>
  </r>
  <r>
    <s v="ATLANTA DIST. HOLD RM"/>
    <x v="20"/>
    <s v="MTGHOLD"/>
    <s v="TX"/>
    <s v="Conroe"/>
    <s v="Montgomery "/>
    <x v="4"/>
    <n v="21420"/>
    <n v="3"/>
    <n v="21420"/>
  </r>
  <r>
    <s v="ATLANTA PRETRIAL DETN CTR"/>
    <x v="21"/>
    <s v="ELVDFTX"/>
    <s v="TX"/>
    <s v="Raymondville"/>
    <m/>
    <x v="3"/>
    <n v="20063"/>
    <n v="2"/>
    <n v="20063"/>
  </r>
  <r>
    <s v="ATLANTA U.S. PEN."/>
    <x v="22"/>
    <s v="BLBNATX"/>
    <s v="TX"/>
    <s v="Anson"/>
    <m/>
    <x v="3"/>
    <n v="18893"/>
    <n v="2"/>
    <n v="18893"/>
  </r>
  <r>
    <s v="SUMTER COUNTY JAIL"/>
    <x v="23"/>
    <s v="AKCOOKI"/>
    <s v="AK"/>
    <m/>
    <m/>
    <x v="5"/>
    <n v="2"/>
    <n v="1"/>
    <n v="0"/>
  </r>
  <r>
    <s v="AZ REM OP COORD CENTER (AROCC)"/>
    <x v="24"/>
    <s v="JCRLYTX"/>
    <s v="TX"/>
    <s v="Conroe"/>
    <m/>
    <x v="1"/>
    <n v="16030"/>
    <n v="2"/>
    <n v="16030"/>
  </r>
  <r>
    <s v="B.R.R.J. HALIFAX"/>
    <x v="25"/>
    <s v="POLKCTX"/>
    <s v="TX"/>
    <m/>
    <s v="Polk"/>
    <x v="3"/>
    <n v="15993"/>
    <n v="2"/>
    <n v="15993"/>
  </r>
  <r>
    <s v="UNION COUNTY JAIL"/>
    <x v="26"/>
    <s v="AKKETCH"/>
    <m/>
    <m/>
    <m/>
    <x v="5"/>
    <n v="1"/>
    <n v="0"/>
    <n v="0"/>
  </r>
  <r>
    <s v="BAKER COUNTY SHERIFF DEPT."/>
    <x v="27"/>
    <s v="BASILLA"/>
    <s v="LA"/>
    <s v="Basile"/>
    <m/>
    <x v="1"/>
    <n v="15624"/>
    <n v="2"/>
    <n v="15624"/>
  </r>
  <r>
    <s v="BAKERFIELD HOLD"/>
    <x v="28"/>
    <s v="DENICDF"/>
    <s v="CO"/>
    <s v="Aurora"/>
    <m/>
    <x v="3"/>
    <n v="15546"/>
    <n v="2"/>
    <n v="15546"/>
  </r>
  <r>
    <s v="BALDWIN COUNTY COR. CENTER"/>
    <x v="29"/>
    <s v="MSVPCPA"/>
    <s v="PA"/>
    <s v="Philipsburg"/>
    <s v="Clearfield "/>
    <x v="1"/>
    <n v="15546"/>
    <n v="3"/>
    <n v="15546"/>
  </r>
  <r>
    <s v="BALTIMORE HOLD ROOM"/>
    <x v="30"/>
    <s v="HOUICDF"/>
    <s v="TX"/>
    <s v="Houston"/>
    <m/>
    <x v="3"/>
    <n v="15377"/>
    <n v="2"/>
    <n v="15377"/>
  </r>
  <r>
    <s v="SEBASTIAN COUNTY DET CNT"/>
    <x v="31"/>
    <s v="AKLEMON"/>
    <s v="AK"/>
    <m/>
    <m/>
    <x v="5"/>
    <n v="4"/>
    <n v="1"/>
    <n v="0"/>
  </r>
  <r>
    <s v="BAPTIST MEDICAL CENTER"/>
    <x v="32"/>
    <s v="RWCCMLA"/>
    <s v="LA"/>
    <s v="Monroe"/>
    <m/>
    <x v="2"/>
    <n v="14662"/>
    <n v="2"/>
    <n v="14662"/>
  </r>
  <r>
    <s v="BARTOW CO JAIL"/>
    <x v="33"/>
    <s v="PHOHOLD"/>
    <s v="AZ"/>
    <s v="Phoenix"/>
    <m/>
    <x v="4"/>
    <n v="14656"/>
    <n v="2"/>
    <n v="14656"/>
  </r>
  <r>
    <s v="BATAVIA COMMAND CENTER HOLDROOM"/>
    <x v="34"/>
    <s v="LOSHOLD"/>
    <m/>
    <m/>
    <m/>
    <x v="4"/>
    <n v="13945"/>
    <n v="0"/>
    <n v="0"/>
  </r>
  <r>
    <s v="BAY COUNTY"/>
    <x v="35"/>
    <s v="IWAHOLD"/>
    <s v="AZ"/>
    <s v="Mesa"/>
    <m/>
    <x v="4"/>
    <n v="12934"/>
    <n v="2"/>
    <n v="12934"/>
  </r>
  <r>
    <s v="BAYAMON HOSPITAL"/>
    <x v="36"/>
    <s v="ATLHOLD"/>
    <s v="GA"/>
    <s v="Atlanta"/>
    <m/>
    <x v="4"/>
    <n v="12564"/>
    <n v="2"/>
    <n v="12564"/>
  </r>
  <r>
    <s v="BELL COUNTY JAIL"/>
    <x v="37"/>
    <s v="RGRNDTX"/>
    <s v="TX"/>
    <s v="Rio Grande"/>
    <m/>
    <x v="3"/>
    <n v="12550"/>
    <n v="2"/>
    <n v="12550"/>
  </r>
  <r>
    <s v="BERGEN COUNTY JAIL"/>
    <x v="38"/>
    <s v="BSAHOLD"/>
    <s v="IL"/>
    <s v="Broadview"/>
    <m/>
    <x v="4"/>
    <n v="12393"/>
    <n v="2"/>
    <n v="12393"/>
  </r>
  <r>
    <s v="BETH ISRAEL DEACONESS HOSP"/>
    <x v="39"/>
    <s v="ELZICDF"/>
    <s v="NJ"/>
    <s v="Elizabeth"/>
    <m/>
    <x v="3"/>
    <n v="12203"/>
    <n v="2"/>
    <n v="12203"/>
  </r>
  <r>
    <s v="BI INCORORATED, GEO GROUP COMPANY"/>
    <x v="40"/>
    <s v="NYCHOLD"/>
    <s v="NY"/>
    <s v="New York City"/>
    <m/>
    <x v="4"/>
    <n v="12048"/>
    <n v="2"/>
    <n v="12048"/>
  </r>
  <r>
    <s v="BIG SPRING HOLD ROOM"/>
    <x v="41"/>
    <s v="FIPCMGA"/>
    <s v="GA"/>
    <m/>
    <m/>
    <x v="1"/>
    <n v="11813"/>
    <n v="1"/>
    <n v="0"/>
  </r>
  <r>
    <s v="BILLINGS HOLD ROOM"/>
    <x v="42"/>
    <s v="BTV"/>
    <s v="NY"/>
    <s v="Buffalo"/>
    <m/>
    <x v="1"/>
    <n v="10523"/>
    <n v="2"/>
    <n v="10523"/>
  </r>
  <r>
    <s v="BIRMINGHAM HOLD ROOM"/>
    <x v="43"/>
    <s v="CSCNWWA"/>
    <s v="WA"/>
    <s v="Tacoma"/>
    <m/>
    <x v="1"/>
    <n v="10254"/>
    <n v="2"/>
    <n v="10254"/>
  </r>
  <r>
    <s v="BISHOP HENRY WHIPPLE FED BLDG"/>
    <x v="44"/>
    <s v="MSF"/>
    <s v="FL"/>
    <s v="Miami"/>
    <m/>
    <x v="0"/>
    <n v="10230"/>
    <n v="2"/>
    <n v="10230"/>
  </r>
  <r>
    <s v="BLUEBONNET DET FCLTY"/>
    <x v="45"/>
    <s v="IRADFCA"/>
    <s v="CA"/>
    <m/>
    <s v="Imperial"/>
    <x v="3"/>
    <n v="9698"/>
    <n v="2"/>
    <n v="9698"/>
  </r>
  <r>
    <s v="BOISE HOLD ROOM"/>
    <x v="46"/>
    <s v="KROHOLD"/>
    <s v="FL"/>
    <m/>
    <s v="Miami-Dade"/>
    <x v="4"/>
    <n v="9545"/>
    <n v="2"/>
    <n v="9545"/>
  </r>
  <r>
    <s v="BOONE COUNTY JAIL"/>
    <x v="47"/>
    <s v="SNAHOLD"/>
    <s v="TX"/>
    <s v="San Antonio"/>
    <m/>
    <x v="4"/>
    <n v="9258"/>
    <n v="2"/>
    <n v="9258"/>
  </r>
  <r>
    <s v="BOSTON HOLDROOM"/>
    <x v="48"/>
    <s v="ORLHOLD"/>
    <s v="FL"/>
    <s v="Orlando"/>
    <m/>
    <x v="4"/>
    <n v="8718"/>
    <n v="2"/>
    <n v="8718"/>
  </r>
  <r>
    <s v="BOSTON SPC"/>
    <x v="49"/>
    <s v="RCMHOLD"/>
    <s v="VA"/>
    <s v="Richmond"/>
    <m/>
    <x v="4"/>
    <n v="8587"/>
    <n v="2"/>
    <n v="8587"/>
  </r>
  <r>
    <s v="SIOUX FALLS HOLD ROOM"/>
    <x v="50"/>
    <s v="AKMATSU"/>
    <s v="AK"/>
    <m/>
    <m/>
    <x v="5"/>
    <n v="3"/>
    <n v="1"/>
    <n v="0"/>
  </r>
  <r>
    <s v="PRAIRIELAND SUBOFFICE HOLD ROOM"/>
    <x v="51"/>
    <s v="ALAMOTX"/>
    <s v="TX"/>
    <m/>
    <m/>
    <x v="6"/>
    <n v="16"/>
    <n v="1"/>
    <n v="0"/>
  </r>
  <r>
    <s v="BRADFORD COUNTY JAIL"/>
    <x v="52"/>
    <s v="TAMHOLD"/>
    <s v="FL"/>
    <s v="Tampa"/>
    <m/>
    <x v="4"/>
    <n v="8253"/>
    <n v="2"/>
    <n v="8253"/>
  </r>
  <r>
    <s v="BREVARD COUNTY JAIL COMPLEX"/>
    <x v="53"/>
    <s v="SNDHOLD"/>
    <s v="CA"/>
    <s v="San Diego"/>
    <m/>
    <x v="4"/>
    <n v="8068"/>
    <n v="2"/>
    <n v="8068"/>
  </r>
  <r>
    <s v="PIKE COUNTY JAIL"/>
    <x v="54"/>
    <s v="APIBHCA"/>
    <s v="CA"/>
    <m/>
    <m/>
    <x v="5"/>
    <n v="22"/>
    <n v="1"/>
    <n v="0"/>
  </r>
  <r>
    <s v="BROOME COUNTY JAIL"/>
    <x v="55"/>
    <s v="SLRDCAZ"/>
    <s v="AZ"/>
    <m/>
    <m/>
    <x v="3"/>
    <n v="7948"/>
    <n v="1"/>
    <n v="0"/>
  </r>
  <r>
    <s v="BROWARD COUNTY JAIL"/>
    <x v="56"/>
    <s v="AUSHOLD"/>
    <s v="TX"/>
    <s v="Austin"/>
    <m/>
    <x v="4"/>
    <n v="7946"/>
    <n v="2"/>
    <n v="7946"/>
  </r>
  <r>
    <s v="BROWARD GENERAL MEDICAL CENTER"/>
    <x v="57"/>
    <s v="PCKNSAL"/>
    <s v="AL"/>
    <m/>
    <s v="Pickens "/>
    <x v="3"/>
    <n v="7941"/>
    <n v="2"/>
    <n v="7941"/>
  </r>
  <r>
    <s v="BROWARD TRANSITIONAL CENTER"/>
    <x v="58"/>
    <s v="WASHOLD"/>
    <m/>
    <m/>
    <m/>
    <x v="4"/>
    <n v="7939"/>
    <n v="0"/>
    <n v="0"/>
  </r>
  <r>
    <s v="BROWN COUNTY JAIL"/>
    <x v="59"/>
    <s v="MCAHOLD"/>
    <s v="TX"/>
    <s v="Mcallen"/>
    <m/>
    <x v="4"/>
    <n v="7902"/>
    <n v="2"/>
    <n v="7902"/>
  </r>
  <r>
    <s v="BUFFALO HOLD ROOM"/>
    <x v="60"/>
    <s v="LRDICDF"/>
    <s v="TX"/>
    <s v="Laredo"/>
    <m/>
    <x v="1"/>
    <n v="7694"/>
    <n v="2"/>
    <n v="7694"/>
  </r>
  <r>
    <s v="CRAIG HOLDROOM"/>
    <x v="61"/>
    <s v="APPSCLA"/>
    <s v="LA"/>
    <m/>
    <s v="Allen"/>
    <x v="5"/>
    <n v="2132"/>
    <n v="2"/>
    <n v="2132"/>
  </r>
  <r>
    <s v="BUFFALO USBP HOLD ROOM"/>
    <x v="62"/>
    <s v="FRMVLVA"/>
    <s v="VA"/>
    <m/>
    <m/>
    <x v="3"/>
    <n v="7001"/>
    <n v="1"/>
    <n v="0"/>
  </r>
  <r>
    <s v="BURLEIGH CO. JAIL, ND"/>
    <x v="63"/>
    <s v="HLGHOLD"/>
    <s v="TX"/>
    <s v="Harlingen"/>
    <m/>
    <x v="4"/>
    <n v="6946"/>
    <n v="2"/>
    <n v="6946"/>
  </r>
  <r>
    <s v="CASPER HOLDROOM"/>
    <x v="64"/>
    <s v="BAKERFL"/>
    <s v="FL"/>
    <m/>
    <s v="Baker "/>
    <x v="6"/>
    <n v="5023"/>
    <n v="2"/>
    <n v="5023"/>
  </r>
  <r>
    <s v="BUTLER COUNTY JAIL"/>
    <x v="65"/>
    <s v="CCAHUTX"/>
    <s v="TX"/>
    <s v="Taylor"/>
    <m/>
    <x v="3"/>
    <n v="6659"/>
    <n v="2"/>
    <n v="6659"/>
  </r>
  <r>
    <s v="CBP MOVEMENT COORDINATION AREA"/>
    <x v="66"/>
    <s v="WEBDCTX"/>
    <s v="TX"/>
    <m/>
    <s v="Webb "/>
    <x v="2"/>
    <n v="6566"/>
    <n v="2"/>
    <n v="6566"/>
  </r>
  <r>
    <s v="Cabarrus County Jail"/>
    <x v="67"/>
    <s v="INPHOLD"/>
    <s v="IN"/>
    <s v="Indianapolis"/>
    <m/>
    <x v="4"/>
    <n v="6441"/>
    <n v="2"/>
    <n v="6441"/>
  </r>
  <r>
    <s v="CACHE CO. JAIL"/>
    <x v="68"/>
    <s v="CCAFLAZ"/>
    <s v="AZ"/>
    <s v="Florence"/>
    <m/>
    <x v="2"/>
    <n v="6356"/>
    <n v="2"/>
    <n v="6356"/>
  </r>
  <r>
    <s v="CAL CITY ICE PROCESSING CENTER"/>
    <x v="69"/>
    <s v="RVRCCLA"/>
    <s v="LA"/>
    <s v="Ferriday"/>
    <m/>
    <x v="2"/>
    <n v="6323"/>
    <n v="2"/>
    <n v="6323"/>
  </r>
  <r>
    <s v="PROVO HOLD ROOM"/>
    <x v="70"/>
    <s v="BAYCOFL"/>
    <s v="FL"/>
    <m/>
    <s v="Bay"/>
    <x v="5"/>
    <n v="15"/>
    <n v="2"/>
    <n v="15"/>
  </r>
  <r>
    <s v="CALIF. MEN COLONY, WEST"/>
    <x v="71"/>
    <s v="NVSDCNV"/>
    <s v="NV"/>
    <m/>
    <m/>
    <x v="3"/>
    <n v="6246"/>
    <n v="1"/>
    <n v="0"/>
  </r>
  <r>
    <s v="ORLANDO HOLD ROOM"/>
    <x v="72"/>
    <s v="BIINCCO"/>
    <s v="CO"/>
    <m/>
    <m/>
    <x v="5"/>
    <n v="38"/>
    <n v="1"/>
    <n v="0"/>
  </r>
  <r>
    <s v="CAMPBELL CO DET CTR"/>
    <x v="73"/>
    <s v="SPMHOLD"/>
    <s v="MN"/>
    <m/>
    <s v="Hennepin "/>
    <x v="4"/>
    <n v="5868"/>
    <n v="2"/>
    <n v="5868"/>
  </r>
  <r>
    <s v="CAMPBELL COUNTY JAIL"/>
    <x v="74"/>
    <s v="ADLNTCA"/>
    <s v="CA"/>
    <m/>
    <m/>
    <x v="1"/>
    <n v="5782"/>
    <n v="1"/>
    <n v="0"/>
  </r>
  <r>
    <s v="CAROLINE DETENTION FACILITY"/>
    <x v="75"/>
    <s v="SLCHOLD"/>
    <s v="UT"/>
    <s v="Salt Lake City"/>
    <m/>
    <x v="4"/>
    <n v="5557"/>
    <n v="2"/>
    <n v="5557"/>
  </r>
  <r>
    <s v="CASA GRANDE REG. MED. CENTER"/>
    <x v="76"/>
    <s v="ALAMCNC"/>
    <s v="NC"/>
    <m/>
    <s v="Alamance"/>
    <x v="3"/>
    <n v="5347"/>
    <n v="2"/>
    <n v="5347"/>
  </r>
  <r>
    <s v="CASCADE COUNTY JAIL, MT"/>
    <x v="77"/>
    <s v="BOSHOLD"/>
    <s v="MA"/>
    <s v="Boston"/>
    <m/>
    <x v="4"/>
    <n v="5250"/>
    <n v="2"/>
    <n v="5250"/>
  </r>
  <r>
    <s v="DALLAS COUNTY JAIL-LEW STERRETT"/>
    <x v="78"/>
    <s v="BOPATL"/>
    <s v="GA"/>
    <s v="Atlanta"/>
    <m/>
    <x v="5"/>
    <n v="2029"/>
    <n v="2"/>
    <n v="2029"/>
  </r>
  <r>
    <s v="CASS COUNTY JAIL"/>
    <x v="79"/>
    <s v="PINELFL"/>
    <s v="FL"/>
    <m/>
    <s v="Pinellas "/>
    <x v="7"/>
    <n v="4710"/>
    <n v="2"/>
    <n v="4710"/>
  </r>
  <r>
    <s v="CEDAR RAPIDS HOLD ROOM"/>
    <x v="80"/>
    <s v="FIPCAGA"/>
    <s v="GA"/>
    <m/>
    <m/>
    <x v="1"/>
    <n v="4687"/>
    <n v="1"/>
    <n v="0"/>
  </r>
  <r>
    <s v="CENTRAL ISLIP HOLD ROOM"/>
    <x v="81"/>
    <s v="OKCHOLD"/>
    <s v="OK"/>
    <s v="Oklahoma City"/>
    <m/>
    <x v="4"/>
    <n v="4511"/>
    <n v="2"/>
    <n v="4511"/>
  </r>
  <r>
    <s v="CENTRAL LOUISIANA ICE PROC CTR"/>
    <x v="82"/>
    <s v="DHDFNJ"/>
    <s v="NJ"/>
    <m/>
    <m/>
    <x v="3"/>
    <n v="4475"/>
    <n v="1"/>
    <n v="0"/>
  </r>
  <r>
    <s v="CENTRAL VA REGIONAL JAIL"/>
    <x v="83"/>
    <s v="BALHOLD"/>
    <s v="MD"/>
    <s v="Baltimore"/>
    <m/>
    <x v="4"/>
    <n v="4334"/>
    <n v="2"/>
    <n v="4334"/>
  </r>
  <r>
    <s v="CENTRAL VALLEY ANNEX"/>
    <x v="84"/>
    <s v="CARDFVA"/>
    <s v="VA"/>
    <m/>
    <m/>
    <x v="3"/>
    <n v="4277"/>
    <n v="1"/>
    <n v="0"/>
  </r>
  <r>
    <s v="CENTRAL WASHINGTON HOSPITAL"/>
    <x v="85"/>
    <s v="MIAHOLD"/>
    <s v="FL"/>
    <s v="Miami"/>
    <m/>
    <x v="4"/>
    <n v="4273"/>
    <n v="2"/>
    <n v="4273"/>
  </r>
  <r>
    <s v="CHAMPLAIN HOLD ROOM"/>
    <x v="86"/>
    <s v="ORANGFL"/>
    <s v="FL"/>
    <m/>
    <s v="Orange "/>
    <x v="7"/>
    <n v="4092"/>
    <n v="2"/>
    <n v="4092"/>
  </r>
  <r>
    <s v="CHANDLER REG MED CTR"/>
    <x v="87"/>
    <s v="TULCOOK"/>
    <s v="OK"/>
    <m/>
    <s v="Tulsa "/>
    <x v="7"/>
    <n v="4065"/>
    <n v="2"/>
    <n v="4065"/>
  </r>
  <r>
    <s v="TAMPA HOLD ROOM"/>
    <x v="88"/>
    <s v="BOPCAA"/>
    <m/>
    <m/>
    <m/>
    <x v="8"/>
    <n v="2"/>
    <n v="0"/>
    <n v="0"/>
  </r>
  <r>
    <s v="CHARLESTON, SC HOLD ROOM"/>
    <x v="89"/>
    <s v="CBENDTX"/>
    <s v="TX"/>
    <s v="Robstown"/>
    <m/>
    <x v="3"/>
    <n v="3945"/>
    <n v="2"/>
    <n v="3945"/>
  </r>
  <r>
    <s v="CHARLOTTE AMALIE HOLDROOM"/>
    <x v="90"/>
    <s v="EDNDCTX"/>
    <s v="TX"/>
    <m/>
    <m/>
    <x v="3"/>
    <n v="3826"/>
    <n v="1"/>
    <n v="0"/>
  </r>
  <r>
    <s v="CHARLOTTE CI, PUNTA GORDA"/>
    <x v="91"/>
    <s v="KNXDFTN"/>
    <s v="TN"/>
    <m/>
    <s v="Knox"/>
    <x v="3"/>
    <n v="3785"/>
    <n v="2"/>
    <n v="3785"/>
  </r>
  <r>
    <s v="CHARLOTTE COUNTY JAIL"/>
    <x v="92"/>
    <s v="DALCOTX"/>
    <s v="TX"/>
    <m/>
    <s v="Dallas"/>
    <x v="7"/>
    <n v="3777"/>
    <n v="2"/>
    <n v="3777"/>
  </r>
  <r>
    <s v="CHARLOTTE HOLD ROOM"/>
    <x v="93"/>
    <s v="BKLHOLD"/>
    <m/>
    <m/>
    <m/>
    <x v="4"/>
    <n v="3725"/>
    <n v="0"/>
    <n v="0"/>
  </r>
  <r>
    <s v="CHASE COUNTY JAIL"/>
    <x v="94"/>
    <s v="SAAHOLD"/>
    <m/>
    <m/>
    <m/>
    <x v="4"/>
    <n v="3724"/>
    <n v="0"/>
    <n v="0"/>
  </r>
  <r>
    <s v="CHATTANOOGA HOLD ROOM"/>
    <x v="95"/>
    <s v="CIBOCNM"/>
    <s v="NM"/>
    <m/>
    <s v="Cibola"/>
    <x v="2"/>
    <n v="3685"/>
    <n v="2"/>
    <n v="3685"/>
  </r>
  <r>
    <s v="MIDLAND MEMORIAL HOSPITAL"/>
    <x v="96"/>
    <s v="BOPCNV"/>
    <s v="NV"/>
    <m/>
    <m/>
    <x v="2"/>
    <n v="120"/>
    <n v="1"/>
    <n v="0"/>
  </r>
  <r>
    <s v="CHESAPEAKE CITY JAIL"/>
    <x v="97"/>
    <s v="URSLATX"/>
    <s v="TX"/>
    <m/>
    <m/>
    <x v="1"/>
    <n v="3485"/>
    <n v="1"/>
    <n v="0"/>
  </r>
  <r>
    <s v="CHESTERFIELD CO. JAIL"/>
    <x v="98"/>
    <s v="CLTHOLD"/>
    <s v="NC"/>
    <s v="Charlotte"/>
    <m/>
    <x v="4"/>
    <n v="3406"/>
    <n v="2"/>
    <n v="3406"/>
  </r>
  <r>
    <s v="CHEYENNE HOLDROOM"/>
    <x v="99"/>
    <s v="PIKCOPA"/>
    <s v="PA"/>
    <m/>
    <s v="Pike"/>
    <x v="7"/>
    <n v="3256"/>
    <n v="2"/>
    <n v="3256"/>
  </r>
  <r>
    <s v="VENTURA COUNTY JAIL"/>
    <x v="100"/>
    <s v="BOPDEV"/>
    <m/>
    <m/>
    <m/>
    <x v="5"/>
    <n v="1"/>
    <n v="0"/>
    <n v="0"/>
  </r>
  <r>
    <s v="CHICAGO HOLD ROOM"/>
    <x v="101"/>
    <s v="OMAHOLD"/>
    <m/>
    <m/>
    <m/>
    <x v="4"/>
    <n v="3138"/>
    <n v="0"/>
    <n v="0"/>
  </r>
  <r>
    <s v="CHIPPEWA CO., SSM"/>
    <x v="102"/>
    <s v="VENHOLD"/>
    <m/>
    <m/>
    <m/>
    <x v="4"/>
    <n v="3081"/>
    <n v="0"/>
    <n v="0"/>
  </r>
  <r>
    <s v="CHITTENDEN REG. COR. FACILITY"/>
    <x v="103"/>
    <s v="MLJHOLD"/>
    <m/>
    <m/>
    <m/>
    <x v="4"/>
    <n v="3050"/>
    <n v="0"/>
    <n v="0"/>
  </r>
  <r>
    <s v="CHRISTIAN COUNTY JAIL"/>
    <x v="104"/>
    <s v="ETOWAAL"/>
    <s v="AL"/>
    <m/>
    <s v="Etowah "/>
    <x v="7"/>
    <n v="3050"/>
    <n v="2"/>
    <n v="3050"/>
  </r>
  <r>
    <s v="CHRISTUS SANTA ROSA HOSPITAL - MED"/>
    <x v="105"/>
    <s v="BOONEKY"/>
    <s v="KY"/>
    <m/>
    <s v="Boone"/>
    <x v="7"/>
    <n v="2949"/>
    <n v="2"/>
    <n v="2949"/>
  </r>
  <r>
    <s v="CIBOLA COUNTY CORRECTIONAL CENTER"/>
    <x v="106"/>
    <s v="SBDHOLD"/>
    <s v="CA"/>
    <s v="San Bernardino"/>
    <m/>
    <x v="4"/>
    <n v="2938"/>
    <n v="2"/>
    <n v="2938"/>
  </r>
  <r>
    <s v="IDAHO FALLS HOLD ROOM"/>
    <x v="107"/>
    <s v="BOPGUA"/>
    <s v="PR"/>
    <s v="Guaynabo"/>
    <m/>
    <x v="3"/>
    <n v="388"/>
    <n v="2"/>
    <n v="388"/>
  </r>
  <r>
    <s v="CIMARRON CORRECTIONAL FACILITY"/>
    <x v="108"/>
    <s v="MEMHOLD"/>
    <s v="TN"/>
    <s v="Memphis"/>
    <m/>
    <x v="4"/>
    <n v="2857"/>
    <n v="2"/>
    <n v="2857"/>
  </r>
  <r>
    <s v="CINCINNATI HOLDROOM"/>
    <x v="109"/>
    <s v="OKCIMMC"/>
    <m/>
    <m/>
    <m/>
    <x v="2"/>
    <n v="2849"/>
    <n v="0"/>
    <n v="0"/>
  </r>
  <r>
    <s v="CITRUS COUNTY JAIL"/>
    <x v="110"/>
    <s v="PHIHOLD"/>
    <s v="PA"/>
    <s v="Philadelphia"/>
    <m/>
    <x v="4"/>
    <n v="2836"/>
    <n v="2"/>
    <n v="2836"/>
  </r>
  <r>
    <s v="SAINT ALBANS HOLD ROOM"/>
    <x v="111"/>
    <s v="BOPLOM"/>
    <m/>
    <m/>
    <m/>
    <x v="8"/>
    <n v="7"/>
    <n v="0"/>
    <n v="0"/>
  </r>
  <r>
    <s v="CLAY COUNTY JUSTICE CENTER"/>
    <x v="112"/>
    <s v="CHASEKS"/>
    <s v="KS"/>
    <m/>
    <s v="Chase"/>
    <x v="7"/>
    <n v="2819"/>
    <n v="2"/>
    <n v="2819"/>
  </r>
  <r>
    <s v="CLEVELAND HOLD ROOM"/>
    <x v="113"/>
    <s v="WCTHOLD"/>
    <s v="TX"/>
    <s v="Waco"/>
    <m/>
    <x v="4"/>
    <n v="2785"/>
    <n v="2"/>
    <n v="2785"/>
  </r>
  <r>
    <s v="CLINTON COUNTY CORR. FAC."/>
    <x v="114"/>
    <s v="TALHOLD"/>
    <s v="FL"/>
    <s v="Tallahassee"/>
    <m/>
    <x v="4"/>
    <n v="2750"/>
    <n v="2"/>
    <n v="2750"/>
  </r>
  <r>
    <s v="CLINTON COUNTY JAIL"/>
    <x v="115"/>
    <s v="FREHOLD"/>
    <s v="CA"/>
    <s v="Fresno"/>
    <m/>
    <x v="4"/>
    <n v="2688"/>
    <n v="2"/>
    <n v="2688"/>
  </r>
  <r>
    <s v="COASTAL BEND DET. FACILITY"/>
    <x v="116"/>
    <s v="GREENMO"/>
    <s v="MO"/>
    <m/>
    <s v="Greene"/>
    <x v="7"/>
    <n v="2610"/>
    <n v="2"/>
    <n v="2610"/>
  </r>
  <r>
    <s v="COBB CO SHERIFFS OFC ADULT DET CTR"/>
    <x v="117"/>
    <s v="BOPPHL"/>
    <s v="PA"/>
    <s v="Philadelphia"/>
    <m/>
    <x v="3"/>
    <n v="2560"/>
    <n v="2"/>
    <n v="2560"/>
  </r>
  <r>
    <s v="COLLIER COUNTY SHERIFF"/>
    <x v="118"/>
    <s v="CHLHOLD"/>
    <s v="SC"/>
    <m/>
    <m/>
    <x v="4"/>
    <n v="2559"/>
    <n v="1"/>
    <n v="0"/>
  </r>
  <r>
    <s v="COLO SPRINGS DEN HSI HOLD"/>
    <x v="119"/>
    <s v="KANHOLD"/>
    <s v="MO"/>
    <s v="Kansas City"/>
    <m/>
    <x v="4"/>
    <n v="2520"/>
    <n v="2"/>
    <n v="2520"/>
  </r>
  <r>
    <s v="COLUMBIA CARE CENTER"/>
    <x v="120"/>
    <s v="DENHOLD"/>
    <s v="CO"/>
    <s v="Denver"/>
    <m/>
    <x v="4"/>
    <n v="2510"/>
    <n v="2"/>
    <n v="2510"/>
  </r>
  <r>
    <s v="COLUMBIA COUNTY JAIL"/>
    <x v="121"/>
    <s v="DODGEWI"/>
    <s v="WI"/>
    <m/>
    <s v="Dodge "/>
    <x v="7"/>
    <n v="2466"/>
    <n v="2"/>
    <n v="2466"/>
  </r>
  <r>
    <s v="JACKSON PARISH CORRECTIONAL CENTER"/>
    <x v="122"/>
    <s v="BOPLVN"/>
    <m/>
    <m/>
    <m/>
    <x v="8"/>
    <n v="354"/>
    <n v="0"/>
    <n v="0"/>
  </r>
  <r>
    <s v="COLUMBUS HOLDROOM"/>
    <x v="123"/>
    <s v="NRLKCMI"/>
    <s v="MI"/>
    <s v="Baldwin"/>
    <m/>
    <x v="2"/>
    <n v="2367"/>
    <n v="2"/>
    <n v="2367"/>
  </r>
  <r>
    <s v="COOK INLET PRETRIAL, ANCH"/>
    <x v="124"/>
    <s v="RDUHOLD"/>
    <s v="NC"/>
    <s v="Raleigh"/>
    <m/>
    <x v="4"/>
    <n v="2285"/>
    <n v="2"/>
    <n v="2285"/>
  </r>
  <r>
    <s v="CORPUS CHRISTI EOR HOLD ROOM"/>
    <x v="125"/>
    <s v="SEAHOLD"/>
    <s v="WA"/>
    <s v="Seattle"/>
    <m/>
    <x v="4"/>
    <n v="2191"/>
    <n v="2"/>
    <n v="2191"/>
  </r>
  <r>
    <s v="BOURBON CO DET CENTER"/>
    <x v="126"/>
    <s v="CADESVI"/>
    <s v="CA"/>
    <s v="Adelanto"/>
    <m/>
    <x v="5"/>
    <n v="8563"/>
    <n v="2"/>
    <n v="8563"/>
  </r>
  <r>
    <s v="CCA NORTHEAST OH CORRECTS"/>
    <x v="127"/>
    <s v="LRDHOLD"/>
    <s v="TX"/>
    <s v="Laredo"/>
    <m/>
    <x v="4"/>
    <n v="2159"/>
    <n v="2"/>
    <n v="2159"/>
  </r>
  <r>
    <s v="CCA, FLORENCE CORRECTIONAL CENTER"/>
    <x v="128"/>
    <s v="SJS"/>
    <s v="PR"/>
    <s v="Guaynabo"/>
    <m/>
    <x v="0"/>
    <n v="2137"/>
    <n v="2"/>
    <n v="2137"/>
  </r>
  <r>
    <s v="COURTHOUSE USM CNTL ISLIP"/>
    <x v="129"/>
    <s v="SLSLCUT"/>
    <s v="UT"/>
    <m/>
    <s v="Salt Lake "/>
    <x v="7"/>
    <n v="2137"/>
    <n v="2"/>
    <n v="2137"/>
  </r>
  <r>
    <s v="COLUMBIA, SC HOLDROOM"/>
    <x v="130"/>
    <s v="CALHOMI"/>
    <s v="MI"/>
    <m/>
    <s v="Calhoun"/>
    <x v="5"/>
    <n v="2441"/>
    <n v="2"/>
    <n v="2441"/>
  </r>
  <r>
    <s v="CULPEPER CO. ADULT DET. CENTER"/>
    <x v="131"/>
    <s v="FMYHOLD"/>
    <s v="FL"/>
    <s v="Fort Myers"/>
    <s v="Lee"/>
    <x v="4"/>
    <n v="2112"/>
    <n v="3"/>
    <n v="2112"/>
  </r>
  <r>
    <s v="CUMBERLAND COUNTY JAIL"/>
    <x v="132"/>
    <s v="KANDIMN"/>
    <s v="MN"/>
    <m/>
    <s v="Kandiyohi"/>
    <x v="7"/>
    <n v="2087"/>
    <n v="2"/>
    <n v="2087"/>
  </r>
  <r>
    <s v="D. RAY JAMES PRISON"/>
    <x v="133"/>
    <s v="LRAHOLD"/>
    <s v="AR"/>
    <s v="Little Rock"/>
    <m/>
    <x v="4"/>
    <n v="2078"/>
    <n v="2"/>
    <n v="2078"/>
  </r>
  <r>
    <s v="DADE CORRECTIONAL INST"/>
    <x v="134"/>
    <s v="BOPMIM"/>
    <s v="FL"/>
    <s v="Miami"/>
    <m/>
    <x v="3"/>
    <n v="2053"/>
    <n v="2"/>
    <n v="2053"/>
  </r>
  <r>
    <s v="DAKOTA COUNTY JAIL"/>
    <x v="135"/>
    <s v="JAXHOLD"/>
    <s v="FL"/>
    <s v="Jacksonville"/>
    <m/>
    <x v="4"/>
    <n v="2040"/>
    <n v="2"/>
    <n v="2040"/>
  </r>
  <r>
    <s v="TELLER COUNTY JAIL"/>
    <x v="136"/>
    <s v="CAMENCW"/>
    <s v="CA"/>
    <m/>
    <m/>
    <x v="5"/>
    <n v="2"/>
    <n v="1"/>
    <n v="0"/>
  </r>
  <r>
    <s v="DALLAS F.O. HOLD"/>
    <x v="137"/>
    <s v="MADISMS"/>
    <s v="MS"/>
    <m/>
    <s v="Madison"/>
    <x v="7"/>
    <n v="2023"/>
    <n v="2"/>
    <n v="2023"/>
  </r>
  <r>
    <s v="DAVIESS COUNTY DETENTION CENTER"/>
    <x v="138"/>
    <s v="NASSANY"/>
    <s v="NY"/>
    <m/>
    <s v="Nassau "/>
    <x v="2"/>
    <n v="2018"/>
    <n v="2"/>
    <n v="2018"/>
  </r>
  <r>
    <s v="DAVIS CO. JAIL"/>
    <x v="139"/>
    <s v="TUCHOLD"/>
    <s v="AZ"/>
    <s v="Tucson"/>
    <m/>
    <x v="4"/>
    <n v="2007"/>
    <n v="2"/>
    <n v="2007"/>
  </r>
  <r>
    <s v="DEL RIO DRO HOLD ROOM"/>
    <x v="140"/>
    <s v="LVGHOLD"/>
    <s v="NV"/>
    <s v="Las Vegas"/>
    <m/>
    <x v="4"/>
    <n v="1998"/>
    <n v="2"/>
    <n v="1998"/>
  </r>
  <r>
    <s v="DELANEY HALL DETENTION FACILITY"/>
    <x v="141"/>
    <s v="GLADEFL"/>
    <s v="FL"/>
    <m/>
    <s v="Glades "/>
    <x v="3"/>
    <n v="1954"/>
    <n v="2"/>
    <n v="1954"/>
  </r>
  <r>
    <s v="DENVER CONTRACT DETENTION FACILITY"/>
    <x v="142"/>
    <s v="RSREGVA"/>
    <s v="VA"/>
    <s v="NORTH PRINCE GEORGE"/>
    <m/>
    <x v="7"/>
    <n v="1914"/>
    <n v="2"/>
    <n v="1914"/>
  </r>
  <r>
    <s v="DENVER COUNTY JAIL"/>
    <x v="143"/>
    <s v="JAKHOLD"/>
    <s v="MS"/>
    <s v="Jackson"/>
    <m/>
    <x v="4"/>
    <n v="1911"/>
    <n v="2"/>
    <n v="1911"/>
  </r>
  <r>
    <s v="DENVER HOLD ROOM"/>
    <x v="144"/>
    <s v="BUTLEOH"/>
    <s v="OH"/>
    <m/>
    <s v="Butler "/>
    <x v="7"/>
    <n v="1863"/>
    <n v="2"/>
    <n v="1863"/>
  </r>
  <r>
    <s v="DEPT OF CORRECTIONS-HAGATNA"/>
    <x v="145"/>
    <s v="LIMESTX"/>
    <s v="TX"/>
    <m/>
    <m/>
    <x v="3"/>
    <n v="1845"/>
    <n v="1"/>
    <n v="0"/>
  </r>
  <r>
    <s v="DES MOINES HOLD ROOM"/>
    <x v="146"/>
    <s v="SAGHOLD"/>
    <m/>
    <s v="San Angelo"/>
    <m/>
    <x v="4"/>
    <n v="1812"/>
    <n v="1"/>
    <n v="0"/>
  </r>
  <r>
    <s v="DESERT VALLEY HOSPITAL"/>
    <x v="147"/>
    <s v="SMAHOLD"/>
    <m/>
    <s v="Santa Maria"/>
    <m/>
    <x v="4"/>
    <n v="1786"/>
    <n v="1"/>
    <n v="0"/>
  </r>
  <r>
    <s v="DESERT VIEW ANNEX"/>
    <x v="148"/>
    <s v="SFRHOLD"/>
    <m/>
    <m/>
    <m/>
    <x v="4"/>
    <n v="1770"/>
    <n v="0"/>
    <n v="0"/>
  </r>
  <r>
    <s v="DETROIT HOLDROOM"/>
    <x v="149"/>
    <s v="WLTSOFL"/>
    <s v="FL"/>
    <m/>
    <s v="Walton "/>
    <x v="7"/>
    <n v="1659"/>
    <n v="2"/>
    <n v="1659"/>
  </r>
  <r>
    <s v="DEVENS FMC"/>
    <x v="150"/>
    <s v="WYATTRI"/>
    <s v="RI"/>
    <s v="Wyatt"/>
    <m/>
    <x v="3"/>
    <n v="1657"/>
    <n v="2"/>
    <n v="1657"/>
  </r>
  <r>
    <s v="DODGE COUNTY JAIL, JUNEAU"/>
    <x v="151"/>
    <s v="KNXHOLD"/>
    <s v="TN"/>
    <s v="Knoxville"/>
    <m/>
    <x v="4"/>
    <n v="1653"/>
    <n v="2"/>
    <n v="1653"/>
  </r>
  <r>
    <s v="DORCHESTER CO DET CTR"/>
    <x v="152"/>
    <s v="WASHIAR"/>
    <s v="AR"/>
    <m/>
    <s v="Washington "/>
    <x v="7"/>
    <n v="1625"/>
    <n v="2"/>
    <n v="1625"/>
  </r>
  <r>
    <s v="DOUGLAS COUNTY DETENTION CENTER"/>
    <x v="153"/>
    <s v="CCANOOH"/>
    <s v="OH"/>
    <s v="Youngstown"/>
    <m/>
    <x v="2"/>
    <n v="1607"/>
    <n v="2"/>
    <n v="1607"/>
  </r>
  <r>
    <s v="DOUGLAS CO. WISCONSIN"/>
    <x v="154"/>
    <s v="STDHOLD"/>
    <s v="TX"/>
    <s v="Pearsall"/>
    <m/>
    <x v="4"/>
    <n v="1535"/>
    <n v="2"/>
    <n v="1535"/>
  </r>
  <r>
    <s v="DOVER HOLDROOM"/>
    <x v="155"/>
    <s v="LEXINSC"/>
    <s v="SC"/>
    <m/>
    <s v="Lexington"/>
    <x v="7"/>
    <n v="1533"/>
    <n v="2"/>
    <n v="1533"/>
  </r>
  <r>
    <s v="DSMC - DEL SOL MEDICAL CENTER"/>
    <x v="156"/>
    <s v="VALVETX"/>
    <s v="TX"/>
    <m/>
    <m/>
    <x v="3"/>
    <n v="1512"/>
    <n v="1"/>
    <n v="0"/>
  </r>
  <r>
    <s v="DURANGO HOLDROOM"/>
    <x v="157"/>
    <s v="FLBAKCI"/>
    <s v="FL"/>
    <m/>
    <m/>
    <x v="2"/>
    <n v="1479"/>
    <n v="1"/>
    <n v="0"/>
  </r>
  <r>
    <s v="ERO EL PASO CAMP EAST MONTANA"/>
    <x v="158"/>
    <s v="STLHOLD"/>
    <s v="MO"/>
    <s v="St. Louis"/>
    <m/>
    <x v="4"/>
    <n v="1474"/>
    <n v="2"/>
    <n v="1474"/>
  </r>
  <r>
    <s v="ERO HOLD ROOM (SPRINGFIELD MO)"/>
    <x v="159"/>
    <s v="CIPHOLD"/>
    <s v="NY"/>
    <s v="Central Islip"/>
    <m/>
    <x v="4"/>
    <n v="1469"/>
    <n v="2"/>
    <n v="1469"/>
  </r>
  <r>
    <s v="ERO HONOLULU SUB-OFFICE HOLD ROOM"/>
    <x v="160"/>
    <s v="RADDFGA"/>
    <s v="GA"/>
    <s v="Lovejoy"/>
    <m/>
    <x v="3"/>
    <n v="1459"/>
    <n v="2"/>
    <n v="1459"/>
  </r>
  <r>
    <s v="EAST HIDALGO DETENTION CENTER"/>
    <x v="161"/>
    <s v="CACFMES"/>
    <s v="CA"/>
    <s v="Bakersfield"/>
    <m/>
    <x v="1"/>
    <n v="1451"/>
    <n v="2"/>
    <n v="1451"/>
  </r>
  <r>
    <s v="EASTERN REGIONAL JAIL"/>
    <x v="162"/>
    <s v="VTSTALB"/>
    <s v="VT"/>
    <s v="Swanton"/>
    <m/>
    <x v="2"/>
    <n v="1432"/>
    <n v="2"/>
    <n v="1432"/>
  </r>
  <r>
    <s v="EDEN DETENTION CTR"/>
    <x v="163"/>
    <s v="EHDLGTX"/>
    <s v="TX"/>
    <m/>
    <m/>
    <x v="3"/>
    <n v="1384"/>
    <n v="1"/>
    <n v="0"/>
  </r>
  <r>
    <s v="EDINBURG POLICE DEPT."/>
    <x v="164"/>
    <s v="HARHOLD"/>
    <m/>
    <s v="Hartford"/>
    <m/>
    <x v="4"/>
    <n v="1359"/>
    <n v="1"/>
    <n v="0"/>
  </r>
  <r>
    <s v="EL CENTRO REGIONAL MED CTR"/>
    <x v="165"/>
    <s v="YRKHOLD"/>
    <m/>
    <s v="York"/>
    <m/>
    <x v="4"/>
    <n v="1358"/>
    <n v="1"/>
    <n v="0"/>
  </r>
  <r>
    <s v="EL PASO BEHAVIORAL HEALTH SYSTEM"/>
    <x v="86"/>
    <s v="ORANGNY"/>
    <s v="NY"/>
    <m/>
    <s v="Orange "/>
    <x v="7"/>
    <n v="1352"/>
    <n v="2"/>
    <n v="1352"/>
  </r>
  <r>
    <s v="EL PASO COUNTY DETENTION FACILITY"/>
    <x v="166"/>
    <s v="FIPCDGA"/>
    <s v="GA"/>
    <m/>
    <m/>
    <x v="1"/>
    <n v="1337"/>
    <n v="1"/>
    <n v="0"/>
  </r>
  <r>
    <s v="EL PASO COUNTY JAIL (TX)"/>
    <x v="167"/>
    <s v="SENECOH"/>
    <s v="OH"/>
    <m/>
    <s v="Seneca "/>
    <x v="7"/>
    <n v="1312"/>
    <n v="2"/>
    <n v="1312"/>
  </r>
  <r>
    <s v="EL PASO LTAC HOSPITAL"/>
    <x v="168"/>
    <s v="OLDHAKY"/>
    <s v="KY"/>
    <m/>
    <s v="Oldham "/>
    <x v="7"/>
    <n v="1284"/>
    <n v="2"/>
    <n v="1284"/>
  </r>
  <r>
    <s v="EL PASO SPC"/>
    <x v="169"/>
    <s v="CNGHOLD"/>
    <s v="TN"/>
    <s v="Chattanooga"/>
    <m/>
    <x v="4"/>
    <n v="1273"/>
    <n v="2"/>
    <n v="1273"/>
  </r>
  <r>
    <s v="EL PASO SOFT SIDED FACILITY"/>
    <x v="170"/>
    <s v="STCLAMI"/>
    <s v="MI"/>
    <m/>
    <s v="Saint Clair"/>
    <x v="7"/>
    <n v="1253"/>
    <n v="2"/>
    <n v="1253"/>
  </r>
  <r>
    <s v="EL VALLE DETENTION FACILITY"/>
    <x v="171"/>
    <s v="STRAFNH"/>
    <s v="NH"/>
    <m/>
    <s v="Strafford"/>
    <x v="2"/>
    <n v="1249"/>
    <n v="2"/>
    <n v="1249"/>
  </r>
  <r>
    <s v="ELIZABETH CONTRACT D.F."/>
    <x v="172"/>
    <s v="AMTHOLD"/>
    <s v="TX"/>
    <s v="Amarillo"/>
    <m/>
    <x v="4"/>
    <n v="1227"/>
    <n v="2"/>
    <n v="1227"/>
  </r>
  <r>
    <s v="ELMORE COUNTY JAIL"/>
    <x v="173"/>
    <s v="STUHOLD"/>
    <s v="FL"/>
    <s v="Stuart"/>
    <m/>
    <x v="4"/>
    <n v="1224"/>
    <n v="2"/>
    <n v="1224"/>
  </r>
  <r>
    <s v="ELOY FED CTR FACILITY (CORE CIVIC)"/>
    <x v="174"/>
    <s v="GRAYSKY"/>
    <s v="KY"/>
    <m/>
    <s v="Grayson"/>
    <x v="3"/>
    <n v="1222"/>
    <n v="2"/>
    <n v="1222"/>
  </r>
  <r>
    <s v="JFK INTERNATIONAL AP - T7"/>
    <x v="175"/>
    <s v="CHIPPMI"/>
    <s v="MI"/>
    <m/>
    <s v="Chippewa"/>
    <x v="5"/>
    <n v="345"/>
    <n v="2"/>
    <n v="345"/>
  </r>
  <r>
    <s v="ESSEX COUNTY JAIL"/>
    <x v="176"/>
    <s v="FREEBMN"/>
    <s v="MN"/>
    <m/>
    <s v="Freeborn"/>
    <x v="7"/>
    <n v="1191"/>
    <n v="2"/>
    <n v="1191"/>
  </r>
  <r>
    <s v="ETOWAH COUNTY JAIL (AL)"/>
    <x v="177"/>
    <s v="HOUHOLD"/>
    <s v="TX"/>
    <s v="Houston"/>
    <m/>
    <x v="4"/>
    <n v="1180"/>
    <n v="2"/>
    <n v="1180"/>
  </r>
  <r>
    <s v="ETOWAH ERO HOLD ROOM"/>
    <x v="178"/>
    <s v="MOAHOLD"/>
    <s v="AL"/>
    <s v="Mobile"/>
    <m/>
    <x v="4"/>
    <n v="1166"/>
    <n v="2"/>
    <n v="1166"/>
  </r>
  <r>
    <s v="EUGENE HOLDROOM"/>
    <x v="179"/>
    <s v="LBKHOLD"/>
    <s v="TX"/>
    <s v="Lubbock"/>
    <m/>
    <x v="4"/>
    <n v="1159"/>
    <n v="2"/>
    <n v="1159"/>
  </r>
  <r>
    <s v="FAIRBANKS CORR CTR"/>
    <x v="180"/>
    <s v="WASHONV"/>
    <s v="NV"/>
    <m/>
    <s v="Washoe"/>
    <x v="7"/>
    <n v="1119"/>
    <n v="2"/>
    <n v="1119"/>
  </r>
  <r>
    <s v="FARMVILLE DETENTION CENTER"/>
    <x v="181"/>
    <s v="MLDHOLD"/>
    <s v="TX"/>
    <s v="Midland,"/>
    <m/>
    <x v="4"/>
    <n v="1109"/>
    <n v="2"/>
    <n v="1109"/>
  </r>
  <r>
    <s v="PORTLAND DISTRICT OFFICE"/>
    <x v="182"/>
    <s v="CHMCINY"/>
    <s v="NY"/>
    <m/>
    <m/>
    <x v="5"/>
    <n v="18"/>
    <n v="1"/>
    <n v="0"/>
  </r>
  <r>
    <s v="FAYETTEVILLE HOLD ROOM"/>
    <x v="183"/>
    <s v="PITHOLD"/>
    <s v="PA"/>
    <s v="Pittsburgh"/>
    <m/>
    <x v="4"/>
    <n v="1079"/>
    <n v="2"/>
    <n v="1079"/>
  </r>
  <r>
    <s v="FCI BERLIN"/>
    <x v="184"/>
    <s v="SJUHOLD"/>
    <s v="PR"/>
    <s v="Carolina"/>
    <m/>
    <x v="4"/>
    <n v="1075"/>
    <n v="2"/>
    <n v="1075"/>
  </r>
  <r>
    <s v="FCI VICTORVILLE"/>
    <x v="185"/>
    <s v="LSRDCTX"/>
    <s v="TX"/>
    <m/>
    <s v="La Salle"/>
    <x v="3"/>
    <n v="1073"/>
    <n v="2"/>
    <n v="1073"/>
  </r>
  <r>
    <s v="FDC PHILADELPHIA"/>
    <x v="186"/>
    <s v="CLINTPA"/>
    <s v="PA"/>
    <m/>
    <s v="Clinton"/>
    <x v="2"/>
    <n v="1045"/>
    <n v="2"/>
    <n v="1045"/>
  </r>
  <r>
    <s v="FERNDALE HOLD ROOM"/>
    <x v="187"/>
    <s v="SALHOLD"/>
    <s v="MD"/>
    <s v="Salisbury"/>
    <m/>
    <x v="4"/>
    <n v="1043"/>
    <n v="2"/>
    <n v="1043"/>
  </r>
  <r>
    <s v="FINNEY COUNTY JAIL"/>
    <x v="188"/>
    <s v="STK"/>
    <m/>
    <m/>
    <m/>
    <x v="0"/>
    <n v="1024"/>
    <n v="0"/>
    <n v="0"/>
  </r>
  <r>
    <s v="FISHKILL C.F. BEACON NY"/>
    <x v="189"/>
    <s v="BOPBER"/>
    <m/>
    <m/>
    <m/>
    <x v="2"/>
    <n v="979"/>
    <n v="0"/>
    <n v="0"/>
  </r>
  <r>
    <s v="FLAGLER COUNTY JAIL"/>
    <x v="190"/>
    <s v="STGENMO"/>
    <s v="MO"/>
    <m/>
    <s v="Sainte Genevieve"/>
    <x v="7"/>
    <n v="961"/>
    <n v="2"/>
    <n v="961"/>
  </r>
  <r>
    <s v="FLORENCE HOSPITAL"/>
    <x v="191"/>
    <s v="TULHOLD"/>
    <s v="OK"/>
    <s v="Tulsa"/>
    <m/>
    <x v="4"/>
    <n v="952"/>
    <n v="2"/>
    <n v="952"/>
  </r>
  <r>
    <s v="FLORENCE SPC"/>
    <x v="192"/>
    <s v="PCSHOLD"/>
    <m/>
    <m/>
    <m/>
    <x v="4"/>
    <n v="950"/>
    <n v="0"/>
    <n v="0"/>
  </r>
  <r>
    <s v="FLORENCE STAGING FACILITY"/>
    <x v="193"/>
    <s v="POTTAIA"/>
    <s v="IA"/>
    <m/>
    <s v="Pottawattamie "/>
    <x v="7"/>
    <n v="944"/>
    <n v="2"/>
    <n v="944"/>
  </r>
  <r>
    <s v="FLORIDA SOFT-SIDED FACILITY-SOUTH"/>
    <x v="194"/>
    <s v="POOHOLD"/>
    <m/>
    <m/>
    <m/>
    <x v="4"/>
    <n v="933"/>
    <n v="0"/>
    <n v="0"/>
  </r>
  <r>
    <s v="FLOYD COUNTY JAIL"/>
    <x v="195"/>
    <s v="MARIOIN"/>
    <s v="IN"/>
    <m/>
    <s v="Marion"/>
    <x v="7"/>
    <n v="930"/>
    <n v="2"/>
    <n v="930"/>
  </r>
  <r>
    <s v="BROADVIEW SERVICE STAGING"/>
    <x v="196"/>
    <s v="CLAYCIN"/>
    <s v="IN"/>
    <m/>
    <s v="Clay"/>
    <x v="5"/>
    <n v="7963"/>
    <n v="2"/>
    <n v="7963"/>
  </r>
  <r>
    <s v="FOLKSTON D RAY ICE PROCESSING CTR"/>
    <x v="197"/>
    <s v="SHERBMN"/>
    <s v="MN"/>
    <m/>
    <s v="Sherburne "/>
    <x v="7"/>
    <n v="919"/>
    <n v="2"/>
    <n v="919"/>
  </r>
  <r>
    <s v="FOLKSTON MAIN IPC"/>
    <x v="198"/>
    <s v="NORHOLD"/>
    <m/>
    <m/>
    <m/>
    <x v="4"/>
    <n v="890"/>
    <n v="0"/>
    <n v="0"/>
  </r>
  <r>
    <s v="FOND DU LAC COUNTY SHERIFF/JAIL"/>
    <x v="199"/>
    <s v="TGKJLFL"/>
    <s v="FL"/>
    <m/>
    <m/>
    <x v="7"/>
    <n v="889"/>
    <n v="1"/>
    <n v="0"/>
  </r>
  <r>
    <s v="FORSYTH COUNTY JAIL"/>
    <x v="200"/>
    <s v="SACHOLD"/>
    <m/>
    <m/>
    <m/>
    <x v="4"/>
    <n v="868"/>
    <n v="0"/>
    <n v="0"/>
  </r>
  <r>
    <s v="FORT MYERS ERO HOLDROOM"/>
    <x v="201"/>
    <s v="DLRHOLD"/>
    <m/>
    <m/>
    <m/>
    <x v="4"/>
    <n v="857"/>
    <n v="0"/>
    <n v="0"/>
  </r>
  <r>
    <s v="FORT SMITH HOLDROOM"/>
    <x v="202"/>
    <s v="POLKJIA"/>
    <s v="IA"/>
    <m/>
    <s v="Polk "/>
    <x v="7"/>
    <n v="855"/>
    <n v="2"/>
    <n v="855"/>
  </r>
  <r>
    <s v="FRANKLIN COUNTY JAIL"/>
    <x v="203"/>
    <s v="RSWHOLD"/>
    <m/>
    <m/>
    <m/>
    <x v="4"/>
    <n v="851"/>
    <n v="0"/>
    <n v="0"/>
  </r>
  <r>
    <s v="FRANKLIN HOUSE OF CORRECTIONS"/>
    <x v="204"/>
    <s v="MAHONOH"/>
    <s v="OH"/>
    <m/>
    <s v="Mahoning "/>
    <x v="7"/>
    <n v="841"/>
    <n v="2"/>
    <n v="841"/>
  </r>
  <r>
    <s v="FREDERICK COUNTY DET. CEN"/>
    <x v="205"/>
    <s v="CACTYCA"/>
    <s v="CA"/>
    <m/>
    <m/>
    <x v="1"/>
    <n v="785"/>
    <n v="1"/>
    <n v="0"/>
  </r>
  <r>
    <s v="FREDERICK HOLDROOM"/>
    <x v="206"/>
    <s v="BSCHOLD"/>
    <m/>
    <m/>
    <m/>
    <x v="4"/>
    <n v="775"/>
    <n v="0"/>
    <n v="0"/>
  </r>
  <r>
    <s v="FREEBORN COUNTY JAIL, MN"/>
    <x v="207"/>
    <s v="NBGHOLD"/>
    <m/>
    <m/>
    <m/>
    <x v="4"/>
    <n v="759"/>
    <n v="0"/>
    <n v="0"/>
  </r>
  <r>
    <s v="FRESNO HOLDROOM"/>
    <x v="208"/>
    <s v="DVDHOLD"/>
    <m/>
    <m/>
    <m/>
    <x v="4"/>
    <n v="751"/>
    <n v="0"/>
    <n v="0"/>
  </r>
  <r>
    <s v="FRIO REGIONAL HOSPITAL"/>
    <x v="209"/>
    <s v="JEFFEID"/>
    <s v="ID"/>
    <m/>
    <s v="Jefferson"/>
    <x v="7"/>
    <n v="748"/>
    <n v="2"/>
    <n v="748"/>
  </r>
  <r>
    <s v="FT LAUDERDALE BEHAVOR HLTH CTR"/>
    <x v="210"/>
    <s v="GEAUGOH"/>
    <s v="OH"/>
    <m/>
    <s v="Geauga "/>
    <x v="7"/>
    <n v="722"/>
    <n v="2"/>
    <n v="722"/>
  </r>
  <r>
    <s v="GALLATIN COUNTY JAIL"/>
    <x v="211"/>
    <s v="MILHOLD"/>
    <s v="WI"/>
    <s v="Milwaukee"/>
    <m/>
    <x v="4"/>
    <n v="701"/>
    <n v="2"/>
    <n v="701"/>
  </r>
  <r>
    <s v="GARDEN CITY PROCESSING @ FINNEY CO"/>
    <x v="212"/>
    <s v="ABQHOLD"/>
    <s v="NM"/>
    <s v="Albuquerque"/>
    <m/>
    <x v="4"/>
    <n v="685"/>
    <n v="2"/>
    <n v="685"/>
  </r>
  <r>
    <s v="GARVIN COUNTY JAIL"/>
    <x v="213"/>
    <s v="LUBBOTX"/>
    <s v="TX"/>
    <m/>
    <s v="Lubbock"/>
    <x v="7"/>
    <n v="683"/>
    <n v="2"/>
    <n v="683"/>
  </r>
  <r>
    <s v="GASTON COUNTY JAIL"/>
    <x v="214"/>
    <s v="UINTAWY"/>
    <s v="WY"/>
    <m/>
    <s v="Uinta "/>
    <x v="7"/>
    <n v="677"/>
    <n v="2"/>
    <n v="677"/>
  </r>
  <r>
    <s v="GEAUGA COUNTY JAIL (GEAUGOH)"/>
    <x v="215"/>
    <s v="BROJAFL"/>
    <s v="FL"/>
    <m/>
    <s v="Broward"/>
    <x v="7"/>
    <n v="662"/>
    <n v="2"/>
    <n v="662"/>
  </r>
  <r>
    <s v="GLADES COUNTY DETENTION CENTER"/>
    <x v="216"/>
    <s v="OGUHOLD"/>
    <s v="UT"/>
    <s v="Ogden"/>
    <m/>
    <x v="4"/>
    <n v="653"/>
    <n v="2"/>
    <n v="653"/>
  </r>
  <r>
    <s v="GLENWOOD SPRINGS HOLDROOM"/>
    <x v="217"/>
    <s v="LRKNHFL"/>
    <s v="FL"/>
    <m/>
    <m/>
    <x v="9"/>
    <n v="650"/>
    <n v="1"/>
    <n v="0"/>
  </r>
  <r>
    <s v="GOLDEN STATE ANNEX"/>
    <x v="218"/>
    <s v="VVSHOLD"/>
    <s v="LA"/>
    <s v="Shreveport"/>
    <m/>
    <x v="4"/>
    <n v="631"/>
    <n v="2"/>
    <n v="631"/>
  </r>
  <r>
    <s v="GOODING COUNTY JAIL"/>
    <x v="219"/>
    <s v="SPOHOLD"/>
    <s v="WA"/>
    <s v="Spokane"/>
    <m/>
    <x v="4"/>
    <n v="631"/>
    <n v="2"/>
    <n v="631"/>
  </r>
  <r>
    <s v="GOOSE CREEK CORRECTIONAL CENTER"/>
    <x v="220"/>
    <s v="BOPHON"/>
    <m/>
    <m/>
    <m/>
    <x v="3"/>
    <n v="611"/>
    <n v="0"/>
    <n v="0"/>
  </r>
  <r>
    <s v="GRADY MEMORIAL HOSPITAL"/>
    <x v="221"/>
    <s v="CUMBEME"/>
    <s v="ME"/>
    <m/>
    <s v="Cumberland"/>
    <x v="7"/>
    <n v="608"/>
    <n v="2"/>
    <n v="608"/>
  </r>
  <r>
    <s v="GRAND FORKS COUNTY CORREC"/>
    <x v="222"/>
    <s v="PRUHOLD"/>
    <s v="UT"/>
    <s v="Provo"/>
    <m/>
    <x v="4"/>
    <n v="593"/>
    <n v="2"/>
    <n v="593"/>
  </r>
  <r>
    <s v="GRAND FORKS HOLD ROOM"/>
    <x v="223"/>
    <s v="ERICOPA"/>
    <s v="PA"/>
    <m/>
    <s v="Erie"/>
    <x v="7"/>
    <n v="591"/>
    <n v="2"/>
    <n v="591"/>
  </r>
  <r>
    <s v="GRAND ISLAND HOLD ROOM"/>
    <x v="224"/>
    <s v="WVSCENT"/>
    <m/>
    <m/>
    <m/>
    <x v="7"/>
    <n v="589"/>
    <n v="0"/>
    <n v="0"/>
  </r>
  <r>
    <s v="GRAND JUNCTION HOLDROOM"/>
    <x v="225"/>
    <s v="SAJHOLD"/>
    <m/>
    <m/>
    <m/>
    <x v="4"/>
    <n v="587"/>
    <n v="0"/>
    <n v="0"/>
  </r>
  <r>
    <s v="GRAND RAPIDS HOLDROOM"/>
    <x v="226"/>
    <s v="VTCHTDN"/>
    <m/>
    <m/>
    <m/>
    <x v="2"/>
    <n v="586"/>
    <n v="0"/>
    <n v="0"/>
  </r>
  <r>
    <s v="GRAYSON COUNTY DETENTION CENTER"/>
    <x v="227"/>
    <s v="PROHOLD"/>
    <m/>
    <m/>
    <m/>
    <x v="4"/>
    <n v="583"/>
    <n v="0"/>
    <n v="0"/>
  </r>
  <r>
    <s v="GREAT MEADOW C.F."/>
    <x v="228"/>
    <s v="FAYETKY"/>
    <s v="KY"/>
    <m/>
    <s v="Fayette "/>
    <x v="3"/>
    <n v="578"/>
    <n v="2"/>
    <n v="578"/>
  </r>
  <r>
    <s v="GREENE COUNTY JAIL"/>
    <x v="229"/>
    <s v="PKEHOLD"/>
    <m/>
    <m/>
    <s v="Pike "/>
    <x v="4"/>
    <n v="574"/>
    <n v="1"/>
    <n v="0"/>
  </r>
  <r>
    <s v="GREER HOLD ROOM"/>
    <x v="230"/>
    <s v="TOOELUT"/>
    <s v="UT"/>
    <m/>
    <s v="Tooele"/>
    <x v="7"/>
    <n v="570"/>
    <n v="2"/>
    <n v="570"/>
  </r>
  <r>
    <s v="GROVELAND C.F. SONYEA"/>
    <x v="231"/>
    <s v="COAHOLD"/>
    <s v="SC"/>
    <s v="San Luis Obispo"/>
    <m/>
    <x v="4"/>
    <n v="565"/>
    <n v="2"/>
    <n v="565"/>
  </r>
  <r>
    <s v="GUAM ERO HOLD ROOM"/>
    <x v="232"/>
    <s v="BALDWAL"/>
    <s v="AL"/>
    <m/>
    <s v="Baldwin"/>
    <x v="2"/>
    <n v="563"/>
    <n v="2"/>
    <n v="563"/>
  </r>
  <r>
    <s v="GUAYNABO MDC (SAN JUAN)"/>
    <x v="233"/>
    <s v="BOPLOF"/>
    <m/>
    <m/>
    <m/>
    <x v="2"/>
    <n v="562"/>
    <n v="0"/>
    <n v="0"/>
  </r>
  <r>
    <s v="HAILE DET. CENTER"/>
    <x v="234"/>
    <s v="PUEHOLD"/>
    <m/>
    <m/>
    <m/>
    <x v="4"/>
    <n v="559"/>
    <n v="0"/>
    <n v="0"/>
  </r>
  <r>
    <s v="NYC HOLD ROOM"/>
    <x v="235"/>
    <s v="COLCASC"/>
    <s v="SC"/>
    <m/>
    <m/>
    <x v="9"/>
    <n v="59"/>
    <n v="1"/>
    <n v="0"/>
  </r>
  <r>
    <s v="HALL COUNTY SHERIFF"/>
    <x v="236"/>
    <s v="BHMHOLD"/>
    <s v="AL"/>
    <s v="Birmingham"/>
    <m/>
    <x v="4"/>
    <n v="552"/>
    <n v="2"/>
    <n v="552"/>
  </r>
  <r>
    <s v="HAMILTON CO. JAIL (TENN)"/>
    <x v="237"/>
    <s v="YAKHOLD"/>
    <m/>
    <m/>
    <m/>
    <x v="4"/>
    <n v="552"/>
    <n v="0"/>
    <n v="0"/>
  </r>
  <r>
    <s v="HANCOCK CO PUB SFTY CPLX"/>
    <x v="238"/>
    <s v="GRRHOLD"/>
    <s v="SC"/>
    <s v="Greer"/>
    <m/>
    <x v="4"/>
    <n v="547"/>
    <n v="2"/>
    <n v="547"/>
  </r>
  <r>
    <s v="HARDIN CO JAIL"/>
    <x v="239"/>
    <s v="YUMHOLD"/>
    <s v="AZ"/>
    <s v="Yuma"/>
    <m/>
    <x v="4"/>
    <n v="544"/>
    <n v="2"/>
    <n v="544"/>
  </r>
  <r>
    <s v="HARLINGEN HOLD ROOM"/>
    <x v="240"/>
    <s v="FRDHOLD"/>
    <s v="MD"/>
    <s v="Frederick"/>
    <m/>
    <x v="4"/>
    <n v="529"/>
    <n v="2"/>
    <n v="529"/>
  </r>
  <r>
    <s v="HARLINGEN MEDICAL CENTER"/>
    <x v="241"/>
    <s v="IMPHOLD"/>
    <m/>
    <m/>
    <m/>
    <x v="4"/>
    <n v="527"/>
    <n v="0"/>
    <n v="0"/>
  </r>
  <r>
    <s v="HARLINGEN POLICE DEPT."/>
    <x v="242"/>
    <s v="PLATTWY"/>
    <s v="WY"/>
    <m/>
    <s v="Platte "/>
    <x v="7"/>
    <n v="523"/>
    <n v="2"/>
    <n v="523"/>
  </r>
  <r>
    <s v="CHI ST LUKE'S H M LUFKIN"/>
    <x v="243"/>
    <s v="COLLIFL"/>
    <s v="FL"/>
    <m/>
    <s v="Collier"/>
    <x v="6"/>
    <n v="3238"/>
    <n v="2"/>
    <n v="3238"/>
  </r>
  <r>
    <s v="HARRISON DETENTION CENTER"/>
    <x v="244"/>
    <s v="RIIHOLD"/>
    <m/>
    <m/>
    <m/>
    <x v="4"/>
    <n v="519"/>
    <n v="0"/>
    <n v="0"/>
  </r>
  <r>
    <s v="HARRISONBURG HOLD ROOM"/>
    <x v="245"/>
    <s v="LOGANOK"/>
    <s v="OK"/>
    <m/>
    <s v="Logan"/>
    <x v="7"/>
    <n v="499"/>
    <n v="2"/>
    <n v="499"/>
  </r>
  <r>
    <s v="HARTFORD CORR CENTER"/>
    <x v="246"/>
    <s v="DAKOTNE"/>
    <s v="NE"/>
    <m/>
    <s v="Dakota "/>
    <x v="7"/>
    <n v="498"/>
    <n v="2"/>
    <n v="498"/>
  </r>
  <r>
    <s v="HARTFORD OFFICE"/>
    <x v="247"/>
    <s v="NEWHOLD"/>
    <m/>
    <m/>
    <m/>
    <x v="4"/>
    <n v="492"/>
    <n v="0"/>
    <n v="0"/>
  </r>
  <r>
    <s v="HCA FLORIDA KENDALL HOSPITAL"/>
    <x v="248"/>
    <s v="FLORHAZ"/>
    <s v="AZ"/>
    <s v="Florence"/>
    <m/>
    <x v="9"/>
    <n v="474"/>
    <n v="2"/>
    <n v="474"/>
  </r>
  <r>
    <s v="HCA HOUSTON HC CONROE"/>
    <x v="249"/>
    <s v="HPKNSKY"/>
    <s v="KY"/>
    <m/>
    <s v="Hopkins"/>
    <x v="7"/>
    <n v="469"/>
    <n v="2"/>
    <n v="469"/>
  </r>
  <r>
    <s v="HEL DISTRICT CUSTODY"/>
    <x v="250"/>
    <s v="MILLRAR"/>
    <s v="AR"/>
    <m/>
    <s v="Miller "/>
    <x v="7"/>
    <n v="468"/>
    <n v="2"/>
    <n v="468"/>
  </r>
  <r>
    <s v="HENDERSON COUNTY DET. FAC."/>
    <x v="251"/>
    <s v="SPGHOLD"/>
    <s v="MO"/>
    <s v="Springfield"/>
    <m/>
    <x v="4"/>
    <n v="466"/>
    <n v="2"/>
    <n v="466"/>
  </r>
  <r>
    <s v="HENDERSON DETENTION"/>
    <x v="252"/>
    <s v="ALBHOLD"/>
    <s v="NY"/>
    <s v="Albany"/>
    <m/>
    <x v="4"/>
    <n v="465"/>
    <n v="2"/>
    <n v="465"/>
  </r>
  <r>
    <s v="HENDERSON HOSPITAL"/>
    <x v="253"/>
    <s v="WVNORTH"/>
    <s v="WV"/>
    <s v="Moundsville"/>
    <m/>
    <x v="7"/>
    <n v="465"/>
    <n v="2"/>
    <n v="465"/>
  </r>
  <r>
    <s v="HENDERSONVILLE HOLD ROOM"/>
    <x v="254"/>
    <s v="CHAVENM"/>
    <s v="NM"/>
    <m/>
    <m/>
    <x v="3"/>
    <n v="458"/>
    <n v="1"/>
    <n v="0"/>
  </r>
  <r>
    <s v="SPOKANE HOLD ROOM"/>
    <x v="255"/>
    <s v="CSLLFTX"/>
    <s v="TX"/>
    <m/>
    <m/>
    <x v="5"/>
    <n v="3"/>
    <n v="1"/>
    <n v="0"/>
  </r>
  <r>
    <s v="HENDRY COUNTY JAIL"/>
    <x v="256"/>
    <s v="CPBDCKY"/>
    <s v="KY"/>
    <m/>
    <s v="Campbell "/>
    <x v="3"/>
    <n v="451"/>
    <n v="2"/>
    <n v="451"/>
  </r>
  <r>
    <s v="HENNEPIN COUNTY MED CTR"/>
    <x v="257"/>
    <s v="NWHNVNC"/>
    <s v="NC"/>
    <m/>
    <s v="New Hanover "/>
    <x v="3"/>
    <n v="446"/>
    <n v="2"/>
    <n v="446"/>
  </r>
  <r>
    <s v="HENRICO COUNTY JAIL"/>
    <x v="258"/>
    <s v="SEBASAR"/>
    <s v="AR"/>
    <m/>
    <s v="Sebastian "/>
    <x v="3"/>
    <n v="445"/>
    <n v="2"/>
    <n v="445"/>
  </r>
  <r>
    <s v="HENRY FORD HOSPITAL"/>
    <x v="259"/>
    <s v="HBGHOLD"/>
    <s v="VA"/>
    <s v="Harrisonburg"/>
    <m/>
    <x v="4"/>
    <n v="441"/>
    <n v="2"/>
    <n v="441"/>
  </r>
  <r>
    <s v="HIDALGO COUNTY SHERIFF'S JAIL"/>
    <x v="260"/>
    <s v="WOODBIA"/>
    <s v="IA"/>
    <m/>
    <s v="Woodbury "/>
    <x v="7"/>
    <n v="441"/>
    <n v="2"/>
    <n v="441"/>
  </r>
  <r>
    <s v="HIGHLAND MTN COR CTR"/>
    <x v="261"/>
    <s v="BOIHOLD"/>
    <s v="ID"/>
    <s v="Boise"/>
    <m/>
    <x v="4"/>
    <n v="434"/>
    <n v="2"/>
    <n v="434"/>
  </r>
  <r>
    <s v="HILLSBOROUGH COUNTY JAIL"/>
    <x v="262"/>
    <s v="PHELPMO"/>
    <s v="MO"/>
    <m/>
    <s v="Phelps "/>
    <x v="7"/>
    <n v="429"/>
    <n v="2"/>
    <n v="429"/>
  </r>
  <r>
    <s v="HONOLULU FEDERAL DETENTION CENTER"/>
    <x v="263"/>
    <s v="WVIRGVA"/>
    <s v="VA"/>
    <m/>
    <m/>
    <x v="7"/>
    <n v="426"/>
    <n v="1"/>
    <n v="0"/>
  </r>
  <r>
    <s v="HOPKINS COUNTY JAIL"/>
    <x v="262"/>
    <s v="PHELPNE"/>
    <s v="NE"/>
    <m/>
    <s v="Phelps "/>
    <x v="7"/>
    <n v="401"/>
    <n v="2"/>
    <n v="401"/>
  </r>
  <r>
    <s v="HOUSTON CONTRACT DET.FAC."/>
    <x v="264"/>
    <s v="OHNORWE"/>
    <m/>
    <m/>
    <m/>
    <x v="2"/>
    <n v="397"/>
    <n v="0"/>
    <n v="0"/>
  </r>
  <r>
    <s v="HOUSTON FO HOLDROOM"/>
    <x v="265"/>
    <s v="KARNETX"/>
    <s v="TX"/>
    <m/>
    <s v="Karnes "/>
    <x v="2"/>
    <n v="395"/>
    <n v="2"/>
    <n v="395"/>
  </r>
  <r>
    <s v="HUDSON COUNTY JAIL"/>
    <x v="266"/>
    <s v="RMKHOLD"/>
    <s v="VA"/>
    <s v="Roanoke"/>
    <m/>
    <x v="4"/>
    <n v="394"/>
    <n v="2"/>
    <n v="394"/>
  </r>
  <r>
    <s v="IAH SECURE ADULT DET. FACILITY"/>
    <x v="267"/>
    <s v="MINNESD"/>
    <s v="SD"/>
    <m/>
    <s v="Minnehaha "/>
    <x v="7"/>
    <n v="390"/>
    <n v="2"/>
    <n v="390"/>
  </r>
  <r>
    <s v="ST. JOHN'S COUNTY JAIL"/>
    <x v="268"/>
    <s v="CVANXCA"/>
    <s v="CA"/>
    <m/>
    <m/>
    <x v="5"/>
    <n v="3"/>
    <n v="1"/>
    <n v="0"/>
  </r>
  <r>
    <s v="IMPERIAL REGIONAL ADULT DET FAC"/>
    <x v="269"/>
    <s v="MINICID"/>
    <s v="ID"/>
    <m/>
    <m/>
    <x v="3"/>
    <n v="388"/>
    <n v="1"/>
    <n v="0"/>
  </r>
  <r>
    <s v="IMPERIAL SUB OFFICE HOLD ROOM"/>
    <x v="270"/>
    <s v="CRPHOLD"/>
    <m/>
    <m/>
    <m/>
    <x v="4"/>
    <n v="381"/>
    <n v="0"/>
    <n v="0"/>
  </r>
  <r>
    <s v="INDIANAPOLIS HOLD ROOM"/>
    <x v="271"/>
    <s v="SGUHOLD"/>
    <s v="St. George"/>
    <s v="UT"/>
    <m/>
    <x v="4"/>
    <n v="370"/>
    <n v="2"/>
    <n v="370"/>
  </r>
  <r>
    <s v="INTEGRIS HEALTH PONCA CITY HOSPITA"/>
    <x v="272"/>
    <s v="CHIHOLD"/>
    <s v="IL"/>
    <s v="Chicago"/>
    <m/>
    <x v="4"/>
    <n v="368"/>
    <n v="2"/>
    <n v="368"/>
  </r>
  <r>
    <s v="JACK HARWELL DETENTION CENTER"/>
    <x v="273"/>
    <s v="FLOYDGA"/>
    <s v="GA"/>
    <m/>
    <s v="Floyd "/>
    <x v="7"/>
    <n v="363"/>
    <n v="2"/>
    <n v="363"/>
  </r>
  <r>
    <s v="JACKSON MEMORIAL HOSPITAL"/>
    <x v="274"/>
    <s v="ELMORID"/>
    <s v="ID"/>
    <m/>
    <s v="Elmore "/>
    <x v="7"/>
    <n v="362"/>
    <n v="2"/>
    <n v="362"/>
  </r>
  <r>
    <s v="JACKSON MS HOLD ROOM"/>
    <x v="275"/>
    <s v="FINNEKS"/>
    <s v="KS"/>
    <m/>
    <s v="Finney "/>
    <x v="7"/>
    <n v="357"/>
    <n v="2"/>
    <n v="357"/>
  </r>
  <r>
    <s v="LORTON, VA HOLD ROOM"/>
    <x v="276"/>
    <s v="DOUGLWI"/>
    <s v="WI"/>
    <m/>
    <s v="Douglas "/>
    <x v="5"/>
    <n v="191"/>
    <n v="2"/>
    <n v="191"/>
  </r>
  <r>
    <s v="JACKSONVILLE SUB-OFFICE"/>
    <x v="277"/>
    <s v="CLARKIN"/>
    <s v="IN"/>
    <m/>
    <s v="Clark"/>
    <x v="7"/>
    <n v="354"/>
    <n v="2"/>
    <n v="354"/>
  </r>
  <r>
    <s v="Jamaica Hospital Med Ctr"/>
    <x v="278"/>
    <s v="MONTGNY"/>
    <s v="NY"/>
    <s v="Fultonville"/>
    <s v="Montgomery "/>
    <x v="7"/>
    <n v="352"/>
    <n v="3"/>
    <n v="352"/>
  </r>
  <r>
    <s v="JEFFERSON COUNTY JAIL"/>
    <x v="279"/>
    <s v="WAUKEWI"/>
    <s v="WI"/>
    <m/>
    <s v="Waukesha"/>
    <x v="7"/>
    <n v="352"/>
    <n v="2"/>
    <n v="352"/>
  </r>
  <r>
    <s v="JEFFERSON COUNTY JAIL"/>
    <x v="280"/>
    <s v="KENTOKY"/>
    <s v="KY"/>
    <m/>
    <s v="Kenton"/>
    <x v="3"/>
    <n v="348"/>
    <n v="2"/>
    <n v="348"/>
  </r>
  <r>
    <s v="WALTON COUNTY JAIL"/>
    <x v="281"/>
    <s v="EDNBGTX"/>
    <s v="TX"/>
    <m/>
    <m/>
    <x v="6"/>
    <n v="1"/>
    <n v="1"/>
    <n v="0"/>
  </r>
  <r>
    <s v="JOE CORLEY PROCESSING CTR"/>
    <x v="282"/>
    <s v="DORCDSC"/>
    <s v="SC"/>
    <m/>
    <s v="Dorchester"/>
    <x v="3"/>
    <n v="340"/>
    <n v="2"/>
    <n v="340"/>
  </r>
  <r>
    <s v="JOHN PETER SMITH HOSPITAL"/>
    <x v="283"/>
    <s v="DETHOLD"/>
    <s v="MI"/>
    <s v="Detroit"/>
    <m/>
    <x v="4"/>
    <n v="339"/>
    <n v="2"/>
    <n v="339"/>
  </r>
  <r>
    <s v="KANDIYOHI CO. JAIL"/>
    <x v="284"/>
    <s v="LAPAZAZ"/>
    <s v="AZ"/>
    <m/>
    <s v="La Paz"/>
    <x v="3"/>
    <n v="339"/>
    <n v="2"/>
    <n v="339"/>
  </r>
  <r>
    <s v="BAKER C. I."/>
    <x v="285"/>
    <s v="EPSSFTX"/>
    <s v="TX"/>
    <s v="El Paso"/>
    <s v="El Paso"/>
    <x v="5"/>
    <n v="15792"/>
    <n v="3"/>
    <n v="15792"/>
  </r>
  <r>
    <s v="KARNES County IMMIGRATION PROCESS CTR"/>
    <x v="286"/>
    <s v="NATROWY"/>
    <s v="WY"/>
    <m/>
    <s v="Natrona"/>
    <x v="7"/>
    <n v="335"/>
    <n v="2"/>
    <n v="335"/>
  </r>
  <r>
    <s v="KARNES COUNTY CIVIL DET. FACILITY"/>
    <x v="287"/>
    <s v="ROCKIVA"/>
    <s v="VA"/>
    <m/>
    <s v="Rockingham "/>
    <x v="7"/>
    <n v="335"/>
    <n v="2"/>
    <n v="335"/>
  </r>
  <r>
    <s v="KARNES CTY CORR CTR"/>
    <x v="288"/>
    <s v="AGC"/>
    <m/>
    <m/>
    <m/>
    <x v="1"/>
    <n v="334"/>
    <n v="0"/>
    <n v="0"/>
  </r>
  <r>
    <s v="KAY County JUSTICE FACILITY"/>
    <x v="289"/>
    <s v="OSCEOFL"/>
    <s v="FL"/>
    <m/>
    <s v="Osceola "/>
    <x v="7"/>
    <n v="332"/>
    <n v="2"/>
    <n v="332"/>
  </r>
  <r>
    <s v="KENT HOSPITAL"/>
    <x v="290"/>
    <s v="GRMHOLD"/>
    <m/>
    <m/>
    <m/>
    <x v="4"/>
    <n v="326"/>
    <n v="0"/>
    <n v="0"/>
  </r>
  <r>
    <s v="KENTON County DETENTION CTR"/>
    <x v="291"/>
    <s v="TXAHOLD"/>
    <s v="AR"/>
    <s v="Texarkana"/>
    <m/>
    <x v="4"/>
    <n v="326"/>
    <n v="2"/>
    <n v="326"/>
  </r>
  <r>
    <s v="KETCHIKAN REGIONAL CC"/>
    <x v="292"/>
    <s v="CLICONY"/>
    <s v="NY"/>
    <m/>
    <s v="Clinton"/>
    <x v="7"/>
    <n v="322"/>
    <n v="2"/>
    <n v="322"/>
  </r>
  <r>
    <s v="KINNEY COUNTY JAIL"/>
    <x v="293"/>
    <s v="NOLHOLD"/>
    <m/>
    <m/>
    <m/>
    <x v="4"/>
    <n v="319"/>
    <n v="0"/>
    <n v="0"/>
  </r>
  <r>
    <s v="KNOX COUNTY DETENTION FACILITY"/>
    <x v="294"/>
    <s v="GJCHOLD"/>
    <m/>
    <m/>
    <m/>
    <x v="4"/>
    <n v="314"/>
    <n v="0"/>
    <n v="0"/>
  </r>
  <r>
    <s v="KNOXVILLE HOLD ROOM"/>
    <x v="295"/>
    <s v="LINCONE"/>
    <s v="NE"/>
    <m/>
    <s v="Lincoln "/>
    <x v="7"/>
    <n v="310"/>
    <n v="2"/>
    <n v="310"/>
  </r>
  <r>
    <s v="KODIAK CITY JAIL"/>
    <x v="296"/>
    <s v="CKHOSFL"/>
    <s v="FL"/>
    <m/>
    <s v="Miami-Dade"/>
    <x v="9"/>
    <n v="308"/>
    <n v="2"/>
    <n v="308"/>
  </r>
  <r>
    <s v="KROME HOLD ROOM"/>
    <x v="297"/>
    <s v="SARASFL"/>
    <s v="FL"/>
    <m/>
    <s v="Sarasota "/>
    <x v="7"/>
    <n v="296"/>
    <n v="2"/>
    <n v="296"/>
  </r>
  <r>
    <s v="KROME NORTH SPC"/>
    <x v="298"/>
    <s v="EPCDFTX"/>
    <s v="TX"/>
    <s v="El Paso"/>
    <s v="El Paso"/>
    <x v="3"/>
    <n v="292"/>
    <n v="3"/>
    <n v="292"/>
  </r>
  <r>
    <s v="KROME/MIAMI HUB"/>
    <x v="299"/>
    <s v="GRFHOLD"/>
    <m/>
    <m/>
    <m/>
    <x v="4"/>
    <n v="289"/>
    <n v="0"/>
    <n v="0"/>
  </r>
  <r>
    <s v="LA PALMA CORR CTR APSO"/>
    <x v="300"/>
    <s v="LOUHOLD"/>
    <s v="KY"/>
    <s v="Louisville"/>
    <m/>
    <x v="4"/>
    <n v="289"/>
    <n v="2"/>
    <n v="289"/>
  </r>
  <r>
    <s v="BOWLING GREEN HOLD ROOM"/>
    <x v="301"/>
    <s v="EROFCB"/>
    <s v="TX"/>
    <s v="El Paso"/>
    <m/>
    <x v="5"/>
    <n v="8302"/>
    <n v="2"/>
    <n v="8302"/>
  </r>
  <r>
    <s v="LA PAZ REGIONAL HOSPITAL"/>
    <x v="302"/>
    <s v="SWEETWY"/>
    <s v="WY"/>
    <m/>
    <s v="Sweetwater "/>
    <x v="7"/>
    <n v="276"/>
    <n v="2"/>
    <n v="276"/>
  </r>
  <r>
    <s v="LA SALLE County REGIONAL DET. CENTER"/>
    <x v="303"/>
    <s v="NLSCOLA"/>
    <s v="LA"/>
    <m/>
    <m/>
    <x v="2"/>
    <n v="269"/>
    <n v="1"/>
    <n v="0"/>
  </r>
  <r>
    <s v="LACKAWANA CNTY JAIL, PA"/>
    <x v="304"/>
    <s v="RGS"/>
    <m/>
    <m/>
    <m/>
    <x v="0"/>
    <n v="269"/>
    <n v="0"/>
    <n v="0"/>
  </r>
  <r>
    <s v="LAHEY HOSPITAL &amp; MED CTR"/>
    <x v="305"/>
    <s v="LARELKY"/>
    <s v="KY"/>
    <m/>
    <s v="Laurel"/>
    <x v="2"/>
    <n v="266"/>
    <n v="2"/>
    <n v="266"/>
  </r>
  <r>
    <s v="LAKE COUNTY JAIL"/>
    <x v="306"/>
    <s v="TGREETX"/>
    <s v="TX"/>
    <m/>
    <m/>
    <x v="7"/>
    <n v="260"/>
    <n v="1"/>
    <n v="0"/>
  </r>
  <r>
    <s v="LAKESIDE MEDICAL CENTER"/>
    <x v="307"/>
    <s v="VVGMCCA"/>
    <s v="CA"/>
    <m/>
    <m/>
    <x v="9"/>
    <n v="258"/>
    <n v="1"/>
    <n v="0"/>
  </r>
  <r>
    <s v="LARAMIE COUNTY JAIL"/>
    <x v="308"/>
    <s v="MARTIFL"/>
    <s v="FL"/>
    <m/>
    <s v="Martin"/>
    <x v="7"/>
    <n v="254"/>
    <n v="2"/>
    <n v="254"/>
  </r>
  <r>
    <s v="LAREDO DETENTION CENTER HOLD ROOM"/>
    <x v="309"/>
    <s v="RENHOLD"/>
    <s v="NV"/>
    <s v="Reno"/>
    <m/>
    <x v="4"/>
    <n v="253"/>
    <n v="2"/>
    <n v="253"/>
  </r>
  <r>
    <s v="LAREDO MEDICAL CENTER"/>
    <x v="310"/>
    <s v="MIDLATX"/>
    <s v="TX"/>
    <m/>
    <m/>
    <x v="3"/>
    <n v="252"/>
    <n v="1"/>
    <n v="0"/>
  </r>
  <r>
    <s v="LAREDO PROCESSING CENTER"/>
    <x v="311"/>
    <s v="LINNJIA"/>
    <s v="IA"/>
    <m/>
    <s v="Linn"/>
    <x v="7"/>
    <n v="252"/>
    <n v="2"/>
    <n v="252"/>
  </r>
  <r>
    <s v="UCHICAGO MEDICINE HOSPITAL CHICAGO"/>
    <x v="312"/>
    <s v="FLCHACI"/>
    <s v="FL"/>
    <s v="Punta Gorda"/>
    <m/>
    <x v="5"/>
    <n v="1"/>
    <n v="2"/>
    <n v="1"/>
  </r>
  <r>
    <s v="LARKIN HOSPITAL"/>
    <x v="313"/>
    <s v="PRLHOLD"/>
    <m/>
    <m/>
    <m/>
    <x v="4"/>
    <n v="249"/>
    <n v="0"/>
    <n v="0"/>
  </r>
  <r>
    <s v="LAS CRUCES HOLD ROOM"/>
    <x v="314"/>
    <s v="FLBHCFL"/>
    <s v="FL"/>
    <m/>
    <m/>
    <x v="9"/>
    <n v="238"/>
    <n v="1"/>
    <n v="0"/>
  </r>
  <r>
    <s v="LAS VEGAS HOLD ROOM"/>
    <x v="315"/>
    <s v="RONKEVA"/>
    <s v="VA"/>
    <m/>
    <m/>
    <x v="7"/>
    <n v="238"/>
    <n v="1"/>
    <n v="0"/>
  </r>
  <r>
    <s v="LAUREL COUNTY CORRECTIONS"/>
    <x v="152"/>
    <s v="WASHCUT"/>
    <s v="UT"/>
    <m/>
    <s v="Washington"/>
    <x v="7"/>
    <n v="233"/>
    <n v="2"/>
    <n v="233"/>
  </r>
  <r>
    <s v="LEAVENWORTH USP"/>
    <x v="316"/>
    <s v="HARDJIA"/>
    <s v="IA"/>
    <m/>
    <s v=""/>
    <x v="7"/>
    <n v="231"/>
    <n v="1"/>
    <n v="0"/>
  </r>
  <r>
    <s v="LEMON CREEK, JUNEAU,AK"/>
    <x v="317"/>
    <s v="BROMMNY"/>
    <s v="NY"/>
    <m/>
    <s v="Broome"/>
    <x v="7"/>
    <n v="231"/>
    <n v="2"/>
    <n v="231"/>
  </r>
  <r>
    <s v="LEVY COUNTY JAIL"/>
    <x v="318"/>
    <s v="MANHOLD"/>
    <m/>
    <m/>
    <m/>
    <x v="4"/>
    <n v="226"/>
    <n v="0"/>
    <n v="0"/>
  </r>
  <r>
    <s v="LEXINGTON COUNTY JAIL"/>
    <x v="319"/>
    <s v="BUFHOLD"/>
    <s v="NY"/>
    <s v="Buffalo"/>
    <m/>
    <x v="4"/>
    <n v="225"/>
    <n v="2"/>
    <n v="225"/>
  </r>
  <r>
    <s v="LEXINGTON PROCESSING @ FAYETTE CO"/>
    <x v="320"/>
    <s v="CSPHOLD"/>
    <m/>
    <m/>
    <m/>
    <x v="4"/>
    <n v="225"/>
    <n v="0"/>
    <n v="0"/>
  </r>
  <r>
    <s v="LIMESTON MEDICAL CENTER"/>
    <x v="321"/>
    <s v="WVEASTR"/>
    <m/>
    <m/>
    <m/>
    <x v="7"/>
    <n v="223"/>
    <n v="0"/>
    <n v="0"/>
  </r>
  <r>
    <s v="BURNET COUNTY JAIL"/>
    <x v="322"/>
    <s v="FLDSSFS"/>
    <s v="FL"/>
    <s v="Pompano Beach"/>
    <m/>
    <x v="5"/>
    <n v="6743"/>
    <n v="2"/>
    <n v="6743"/>
  </r>
  <r>
    <s v="LINCOLN COUNTY JAIL"/>
    <x v="323"/>
    <s v="FDLHOLD"/>
    <m/>
    <m/>
    <m/>
    <x v="4"/>
    <n v="219"/>
    <n v="0"/>
    <n v="0"/>
  </r>
  <r>
    <s v="LINCOLN COUNTY SHERIFF'S"/>
    <x v="324"/>
    <s v="LICEPLA"/>
    <s v="LA"/>
    <m/>
    <m/>
    <x v="1"/>
    <n v="214"/>
    <n v="1"/>
    <n v="0"/>
  </r>
  <r>
    <s v="LINN COUNTY JAIL"/>
    <x v="325"/>
    <s v="SYRHOLD"/>
    <s v="NY"/>
    <s v="Syracuse"/>
    <m/>
    <x v="4"/>
    <n v="211"/>
    <n v="2"/>
    <n v="211"/>
  </r>
  <r>
    <s v="LIRS - LFSRM FORT COLLINS LTFC CO"/>
    <x v="326"/>
    <s v="SFDHOLD"/>
    <m/>
    <m/>
    <m/>
    <x v="4"/>
    <n v="207"/>
    <n v="0"/>
    <n v="0"/>
  </r>
  <r>
    <s v="LITTLE ROCK HOLD ROOM"/>
    <x v="327"/>
    <s v="NWRCCMN"/>
    <s v="MN"/>
    <m/>
    <m/>
    <x v="2"/>
    <n v="204"/>
    <n v="1"/>
    <n v="0"/>
  </r>
  <r>
    <s v="LOGAN COUNTY JAIL"/>
    <x v="328"/>
    <s v="TFIHOLD"/>
    <m/>
    <m/>
    <m/>
    <x v="4"/>
    <n v="204"/>
    <n v="0"/>
    <n v="0"/>
  </r>
  <r>
    <s v="LOMPOC FCI"/>
    <x v="329"/>
    <s v="BOURBKY"/>
    <s v="KY"/>
    <m/>
    <s v="Bourbon "/>
    <x v="3"/>
    <n v="203"/>
    <n v="2"/>
    <n v="203"/>
  </r>
  <r>
    <s v="LOMPOC USP"/>
    <x v="330"/>
    <s v="COBBJGA"/>
    <s v="GA"/>
    <m/>
    <s v="Cobb "/>
    <x v="3"/>
    <n v="202"/>
    <n v="2"/>
    <n v="202"/>
  </r>
  <r>
    <s v="HARRIS COUNTY PSYCHIATRIC CENTER"/>
    <x v="331"/>
    <s v="GFCORND"/>
    <s v="ND"/>
    <m/>
    <s v="Grand Forks"/>
    <x v="5"/>
    <n v="519"/>
    <n v="2"/>
    <n v="519"/>
  </r>
  <r>
    <s v="LOS ANGELES COUNTY JAIL-TWIN TOWER"/>
    <x v="332"/>
    <s v="EUGHOLD"/>
    <s v="OR"/>
    <s v="Eugene"/>
    <m/>
    <x v="4"/>
    <n v="189"/>
    <n v="2"/>
    <n v="189"/>
  </r>
  <r>
    <s v="LOS ANGELES POLICE PD 77TH DIV."/>
    <x v="333"/>
    <s v="REDHOLD"/>
    <m/>
    <m/>
    <m/>
    <x v="4"/>
    <n v="186"/>
    <n v="0"/>
    <n v="0"/>
  </r>
  <r>
    <s v="LOS CUST CASE"/>
    <x v="334"/>
    <s v="MUSCAIA"/>
    <s v="IA"/>
    <m/>
    <s v="Muscatine"/>
    <x v="7"/>
    <n v="184"/>
    <n v="2"/>
    <n v="184"/>
  </r>
  <r>
    <s v="LOS FRESNOS HOLD ROOM"/>
    <x v="335"/>
    <s v="DSMHOLD"/>
    <s v="IA"/>
    <s v="Des Moines"/>
    <m/>
    <x v="4"/>
    <n v="183"/>
    <n v="2"/>
    <n v="183"/>
  </r>
  <r>
    <s v="LOUDOUN COUNTY"/>
    <x v="336"/>
    <s v="VBHOSTX"/>
    <s v="TX"/>
    <m/>
    <m/>
    <x v="9"/>
    <n v="182"/>
    <n v="1"/>
    <n v="0"/>
  </r>
  <r>
    <s v="LOUISIANA ICE PROCESSING CENTER"/>
    <x v="337"/>
    <s v="WPOHOLD"/>
    <m/>
    <m/>
    <m/>
    <x v="4"/>
    <n v="182"/>
    <n v="0"/>
    <n v="0"/>
  </r>
  <r>
    <s v="LOUISVILLE HOLD ROOM"/>
    <x v="338"/>
    <s v="NSVHOLD"/>
    <s v="TN"/>
    <s v="Nashville"/>
    <m/>
    <x v="4"/>
    <n v="181"/>
    <n v="2"/>
    <n v="181"/>
  </r>
  <r>
    <s v="LOYOLA CENTER FOR HEALTH"/>
    <x v="339"/>
    <s v="CHYHOLD"/>
    <s v="WY"/>
    <s v="Cheyenne"/>
    <m/>
    <x v="4"/>
    <n v="178"/>
    <n v="2"/>
    <n v="178"/>
  </r>
  <r>
    <s v="LUBBOCK COUNTY JAIL"/>
    <x v="340"/>
    <s v="UVHSATX"/>
    <s v="TX"/>
    <m/>
    <m/>
    <x v="9"/>
    <n v="178"/>
    <n v="1"/>
    <n v="0"/>
  </r>
  <r>
    <s v="LUBBOCK HOLD ROOM"/>
    <x v="341"/>
    <s v="TNWESDF"/>
    <s v="TN"/>
    <m/>
    <m/>
    <x v="3"/>
    <n v="173"/>
    <n v="1"/>
    <n v="0"/>
  </r>
  <r>
    <s v="MADISON CO. JAIL, MS."/>
    <x v="342"/>
    <s v="VWHMCAZ"/>
    <s v="AZ"/>
    <m/>
    <m/>
    <x v="9"/>
    <n v="173"/>
    <n v="1"/>
    <n v="0"/>
  </r>
  <r>
    <s v="MAHONING COUNTY JAIL"/>
    <x v="343"/>
    <s v="BREVDFL"/>
    <s v="FL"/>
    <m/>
    <s v="Brevard"/>
    <x v="7"/>
    <n v="172"/>
    <n v="2"/>
    <n v="172"/>
  </r>
  <r>
    <s v="MAINE YOUTH CENTER - LONG CREEK"/>
    <x v="344"/>
    <s v="FAYHOLD"/>
    <s v="AR"/>
    <s v="Fayetteville"/>
    <m/>
    <x v="4"/>
    <n v="171"/>
    <n v="2"/>
    <n v="171"/>
  </r>
  <r>
    <s v="MANATEE COUNTY DETENTION-ANNEX"/>
    <x v="345"/>
    <s v="RNDLLTX"/>
    <s v="TX"/>
    <m/>
    <s v="Randall "/>
    <x v="7"/>
    <n v="169"/>
    <n v="2"/>
    <n v="169"/>
  </r>
  <r>
    <s v="MANCHESTER HOLDROOM"/>
    <x v="346"/>
    <s v="GARVIOK"/>
    <s v="OK"/>
    <m/>
    <s v="Garvin "/>
    <x v="7"/>
    <n v="167"/>
    <n v="2"/>
    <n v="167"/>
  </r>
  <r>
    <s v="MARCY CORRECTIONAL"/>
    <x v="347"/>
    <s v="CRIHOLD"/>
    <s v="IA"/>
    <s v="Cedar Rapids"/>
    <m/>
    <x v="4"/>
    <n v="165"/>
    <n v="2"/>
    <n v="165"/>
  </r>
  <r>
    <s v="MARIAN REGIONAL MEDICAL CENTER"/>
    <x v="348"/>
    <s v="PENNISD"/>
    <s v="SD"/>
    <m/>
    <s v="Pennington "/>
    <x v="7"/>
    <n v="165"/>
    <n v="2"/>
    <n v="165"/>
  </r>
  <r>
    <s v="MARICOPA MEDICAL CENTER"/>
    <x v="349"/>
    <s v="CLMHOLD"/>
    <s v="OH"/>
    <s v="Columbus"/>
    <m/>
    <x v="4"/>
    <n v="164"/>
    <n v="2"/>
    <n v="164"/>
  </r>
  <r>
    <s v="MARION COUNTY JAIL"/>
    <x v="350"/>
    <s v="CSDHOLD"/>
    <s v="CO"/>
    <s v="Colorado Springs"/>
    <m/>
    <x v="4"/>
    <n v="163"/>
    <n v="2"/>
    <n v="163"/>
  </r>
  <r>
    <s v="MARION COUNTY JAIL"/>
    <x v="351"/>
    <s v="BELCOTX"/>
    <s v="TX"/>
    <m/>
    <s v="Bell"/>
    <x v="7"/>
    <n v="161"/>
    <n v="2"/>
    <n v="161"/>
  </r>
  <r>
    <s v="MARTIN COUNTY JAIL"/>
    <x v="352"/>
    <s v="ALLEGNY"/>
    <s v="NY"/>
    <m/>
    <s v="Allegany"/>
    <x v="7"/>
    <n v="158"/>
    <n v="2"/>
    <n v="158"/>
  </r>
  <r>
    <s v="MATSU PRETRIAL, PALMER AK"/>
    <x v="353"/>
    <s v="MCCLETX"/>
    <s v="TX"/>
    <m/>
    <s v="Mclennan "/>
    <x v="7"/>
    <n v="156"/>
    <n v="2"/>
    <n v="156"/>
  </r>
  <r>
    <s v="CHARLESTON COUNTY CORRECT"/>
    <x v="354"/>
    <s v="GLDSACA"/>
    <s v="CA"/>
    <m/>
    <m/>
    <x v="5"/>
    <n v="3992"/>
    <n v="1"/>
    <n v="0"/>
  </r>
  <r>
    <s v="MCALLEN HOLD ROOM"/>
    <x v="355"/>
    <s v="WKBHMFL"/>
    <s v="FL"/>
    <m/>
    <s v="Miami-Dade"/>
    <x v="9"/>
    <n v="149"/>
    <n v="2"/>
    <n v="149"/>
  </r>
  <r>
    <s v="MCHENRY COUNTY SHERIFF'S"/>
    <x v="356"/>
    <s v="TITUSTX"/>
    <s v="TX"/>
    <m/>
    <s v="Titus "/>
    <x v="7"/>
    <n v="145"/>
    <n v="2"/>
    <n v="145"/>
  </r>
  <r>
    <s v="MCLENNAN COUNTY JAIL"/>
    <x v="357"/>
    <s v="CHAHOLD"/>
    <s v="VI"/>
    <s v="St. Thomas"/>
    <m/>
    <x v="4"/>
    <n v="143"/>
    <n v="2"/>
    <n v="143"/>
  </r>
  <r>
    <s v="MCRAE CORRECTIONAL FACILITY, CCA"/>
    <x v="358"/>
    <s v="CASSCNE"/>
    <s v="NE"/>
    <m/>
    <s v="Cass"/>
    <x v="7"/>
    <n v="143"/>
    <n v="2"/>
    <n v="143"/>
  </r>
  <r>
    <s v="MEDFORD SUB-OFFICE"/>
    <x v="359"/>
    <s v="NIAGANY"/>
    <s v="NY"/>
    <m/>
    <s v="Niagara "/>
    <x v="7"/>
    <n v="142"/>
    <n v="2"/>
    <n v="142"/>
  </r>
  <r>
    <s v="MEMORIAL HERMANN NE HOSP"/>
    <x v="360"/>
    <s v="BURLEND"/>
    <s v="ND"/>
    <m/>
    <s v="Burleigh"/>
    <x v="7"/>
    <n v="141"/>
    <n v="2"/>
    <n v="141"/>
  </r>
  <r>
    <s v="MEMPHIS HOLD ROOM"/>
    <x v="361"/>
    <s v="WNTHOLD"/>
    <s v="WA"/>
    <s v="Wenatchee"/>
    <m/>
    <x v="4"/>
    <n v="141"/>
    <n v="2"/>
    <n v="141"/>
  </r>
  <r>
    <s v="MESA VERDE ICE PROCESSING CENTER"/>
    <x v="362"/>
    <s v="RICHOLD"/>
    <s v="WA"/>
    <s v="Richland"/>
    <m/>
    <x v="4"/>
    <n v="140"/>
    <n v="2"/>
    <n v="140"/>
  </r>
  <r>
    <s v="METHODIST HOSPITAL METROPOLITAN"/>
    <x v="363"/>
    <s v="EPBHSTX"/>
    <s v="TX"/>
    <s v="El Paso"/>
    <s v="El Paso"/>
    <x v="9"/>
    <n v="137"/>
    <n v="3"/>
    <n v="137"/>
  </r>
  <r>
    <s v="METHODIST HOSPITAL NORTHEAST"/>
    <x v="364"/>
    <s v="LRKBHFL"/>
    <s v="FL"/>
    <m/>
    <m/>
    <x v="9"/>
    <n v="134"/>
    <n v="1"/>
    <n v="0"/>
  </r>
  <r>
    <s v="METHODIST HOSPITAL STONE OAK"/>
    <x v="365"/>
    <s v="ANCHOAK"/>
    <s v="AK"/>
    <m/>
    <s v="Anchorage"/>
    <x v="7"/>
    <n v="131"/>
    <n v="2"/>
    <n v="131"/>
  </r>
  <r>
    <s v="METRO DADE JAIL"/>
    <x v="195"/>
    <s v="MARIOFL"/>
    <s v="FL"/>
    <m/>
    <s v="Marion"/>
    <x v="7"/>
    <n v="131"/>
    <n v="2"/>
    <n v="131"/>
  </r>
  <r>
    <s v="MIAMI (MIRAMAR) HOLD ROOM"/>
    <x v="366"/>
    <s v="WARDCND"/>
    <s v="ND"/>
    <m/>
    <s v="Ward "/>
    <x v="7"/>
    <n v="130"/>
    <n v="2"/>
    <n v="130"/>
  </r>
  <r>
    <s v="MIAMI BORDER PATROL"/>
    <x v="367"/>
    <s v="STAHOLD"/>
    <s v="VT"/>
    <s v="Saint Albans"/>
    <m/>
    <x v="4"/>
    <n v="127"/>
    <n v="2"/>
    <n v="127"/>
  </r>
  <r>
    <s v="MIAMI CORRECTIONAL CENTER"/>
    <x v="368"/>
    <s v="LASHOLD"/>
    <s v="NM"/>
    <s v="Las Cruces"/>
    <m/>
    <x v="4"/>
    <n v="126"/>
    <n v="2"/>
    <n v="126"/>
  </r>
  <r>
    <s v="MIAMI FED.DET.CENTER"/>
    <x v="369"/>
    <s v="IFIHOLD"/>
    <s v="ID"/>
    <s v="Idaho Falls"/>
    <m/>
    <x v="4"/>
    <n v="124"/>
    <n v="2"/>
    <n v="124"/>
  </r>
  <r>
    <s v="MIAMI STAGING FACILITY"/>
    <x v="370"/>
    <s v="GUDOCHG"/>
    <s v="GU"/>
    <s v="Hagatna"/>
    <m/>
    <x v="2"/>
    <n v="122"/>
    <n v="2"/>
    <n v="122"/>
  </r>
  <r>
    <s v="MIDDLE RIVER REGIONAL JAIL"/>
    <x v="371"/>
    <s v="HICOJFL"/>
    <s v="FL"/>
    <m/>
    <s v="Hillsborough"/>
    <x v="7"/>
    <n v="122"/>
    <n v="2"/>
    <n v="122"/>
  </r>
  <r>
    <s v="MIDLAND DETENTION CENTER"/>
    <x v="372"/>
    <s v="LEXFCKY"/>
    <s v="KY"/>
    <m/>
    <s v="Fayette"/>
    <x v="1"/>
    <n v="121"/>
    <n v="2"/>
    <n v="121"/>
  </r>
  <r>
    <s v="MAVERICK COUNTY JAIL"/>
    <x v="373"/>
    <s v="HASHENE"/>
    <s v="NE"/>
    <m/>
    <s v="Hall"/>
    <x v="6"/>
    <n v="151"/>
    <n v="2"/>
    <n v="151"/>
  </r>
  <r>
    <s v="MIDLAND, TX ERO HOLDROOM"/>
    <x v="374"/>
    <s v="CBRRSNC"/>
    <s v="NC"/>
    <m/>
    <s v="Cabarrus"/>
    <x v="7"/>
    <n v="115"/>
    <n v="2"/>
    <n v="115"/>
  </r>
  <r>
    <s v="KANSAS CITY HOLDROOM"/>
    <x v="375"/>
    <s v="HCAHCTX"/>
    <s v="TX"/>
    <m/>
    <m/>
    <x v="5"/>
    <n v="335"/>
    <n v="1"/>
    <n v="0"/>
  </r>
  <r>
    <s v="MILWAUKEE HOLDROOM"/>
    <x v="376"/>
    <s v="SMNOLFL"/>
    <s v="FL"/>
    <m/>
    <s v="Seminole "/>
    <x v="7"/>
    <n v="113"/>
    <n v="2"/>
    <n v="113"/>
  </r>
  <r>
    <s v="MINICASSIA DET. CENTER"/>
    <x v="377"/>
    <s v="RPCHOLD"/>
    <s v="SD"/>
    <s v="Rapid City"/>
    <m/>
    <x v="4"/>
    <n v="111"/>
    <n v="2"/>
    <n v="111"/>
  </r>
  <r>
    <s v="MINNEHAHA COUNTY JAIL"/>
    <x v="378"/>
    <s v="GASTNNC"/>
    <s v="NC"/>
    <m/>
    <s v="Gaston "/>
    <x v="7"/>
    <n v="110"/>
    <n v="2"/>
    <n v="110"/>
  </r>
  <r>
    <s v="MOBILE HOLDROOM"/>
    <x v="379"/>
    <s v="PRESBNY"/>
    <s v="NY"/>
    <m/>
    <s v="New York"/>
    <x v="9"/>
    <n v="109"/>
    <n v="2"/>
    <n v="109"/>
  </r>
  <r>
    <s v="MOFFAT COUNTY JAIL"/>
    <x v="380"/>
    <s v="SXCHOLD"/>
    <s v="IA"/>
    <s v="Sioux City"/>
    <m/>
    <x v="4"/>
    <n v="108"/>
    <n v="2"/>
    <n v="108"/>
  </r>
  <r>
    <s v="MONROE COUNTY DETENTION-DORM"/>
    <x v="381"/>
    <s v="ATTHOLD"/>
    <s v="TX"/>
    <s v="Athens"/>
    <m/>
    <x v="4"/>
    <n v="107"/>
    <n v="2"/>
    <n v="107"/>
  </r>
  <r>
    <s v="MONROE COUNTY JAIL"/>
    <x v="382"/>
    <s v="MPSIPAN"/>
    <m/>
    <m/>
    <m/>
    <x v="2"/>
    <n v="107"/>
    <n v="0"/>
    <n v="0"/>
  </r>
  <r>
    <s v="MONROE COUNTY SHERIFF/JAIL-MAIN"/>
    <x v="383"/>
    <s v="SUMTEFL"/>
    <s v="FL"/>
    <m/>
    <s v="Sumter "/>
    <x v="7"/>
    <n v="107"/>
    <n v="2"/>
    <n v="107"/>
  </r>
  <r>
    <s v="MONTGOMERY County MAC SIM BUTLER D.F."/>
    <x v="384"/>
    <s v="CHSPKVA"/>
    <s v="VA"/>
    <m/>
    <s v="Chesapeake City"/>
    <x v="7"/>
    <n v="106"/>
    <n v="2"/>
    <n v="106"/>
  </r>
  <r>
    <s v="MONTGOMERY COUNTY JAIL"/>
    <x v="385"/>
    <s v="JHRWLTX"/>
    <s v="TX"/>
    <m/>
    <m/>
    <x v="3"/>
    <n v="104"/>
    <n v="1"/>
    <n v="0"/>
  </r>
  <r>
    <s v="MONTGOMERY COUNTY JAIL"/>
    <x v="386"/>
    <s v="LAKCOFL"/>
    <s v="FL"/>
    <m/>
    <s v="Lake"/>
    <x v="7"/>
    <n v="104"/>
    <n v="2"/>
    <n v="104"/>
  </r>
  <r>
    <s v="MONTGOMERY HOLD RM"/>
    <x v="387"/>
    <s v="DSMCNTX"/>
    <s v="TX"/>
    <m/>
    <m/>
    <x v="9"/>
    <n v="102"/>
    <n v="1"/>
    <n v="0"/>
  </r>
  <r>
    <s v="MONTGOMERY PROCESSING CTR"/>
    <x v="388"/>
    <s v="PVLYHCA"/>
    <s v="CA"/>
    <m/>
    <m/>
    <x v="9"/>
    <n v="100"/>
    <n v="1"/>
    <n v="0"/>
  </r>
  <r>
    <s v="MORGANTOWN FED.CORR.INST."/>
    <x v="389"/>
    <s v="INMIAMI"/>
    <s v="MI"/>
    <m/>
    <m/>
    <x v="2"/>
    <n v="99"/>
    <n v="1"/>
    <n v="0"/>
  </r>
  <r>
    <s v="MOSHANNON VALLEY PROCESSING CENTER"/>
    <x v="390"/>
    <s v="MVMCMAZ"/>
    <s v="AZ"/>
    <m/>
    <m/>
    <x v="9"/>
    <n v="97"/>
    <n v="1"/>
    <n v="0"/>
  </r>
  <r>
    <s v="MOUNT LAUREL HOLD ROOM"/>
    <x v="391"/>
    <s v="CLEHOLD"/>
    <s v="OH"/>
    <s v="Cleveland"/>
    <m/>
    <x v="4"/>
    <n v="96"/>
    <n v="2"/>
    <n v="96"/>
  </r>
  <r>
    <s v="MOUNTAIN VISTA MED CTR"/>
    <x v="392"/>
    <s v="WMHOSCA"/>
    <s v="CA"/>
    <m/>
    <m/>
    <x v="9"/>
    <n v="95"/>
    <n v="1"/>
    <n v="0"/>
  </r>
  <r>
    <s v="MUSCATINE COUNTY JAIL"/>
    <x v="152"/>
    <s v="WAJAIMN"/>
    <s v="MN"/>
    <m/>
    <s v="Washington "/>
    <x v="7"/>
    <n v="94"/>
    <n v="2"/>
    <n v="94"/>
  </r>
  <r>
    <s v="NASHVILLE COMM. CORR."/>
    <x v="393"/>
    <s v="MAVERTX"/>
    <s v="TX"/>
    <m/>
    <s v="Maverick "/>
    <x v="7"/>
    <n v="92"/>
    <n v="2"/>
    <n v="92"/>
  </r>
  <r>
    <s v="NASHVILLE HOLD ROOM"/>
    <x v="394"/>
    <s v="BURNETX"/>
    <s v="TX"/>
    <m/>
    <s v="Burnet"/>
    <x v="7"/>
    <n v="90"/>
    <n v="2"/>
    <n v="90"/>
  </r>
  <r>
    <s v="NASSAU County CORREC CENTER"/>
    <x v="395"/>
    <s v="TELLECO"/>
    <s v="CO"/>
    <m/>
    <s v="Teller "/>
    <x v="7"/>
    <n v="88"/>
    <n v="2"/>
    <n v="88"/>
  </r>
  <r>
    <s v="NASSAU COUNTY ICE TRAILER"/>
    <x v="396"/>
    <s v="VICTOTX"/>
    <s v="TX"/>
    <m/>
    <s v="Victoria"/>
    <x v="7"/>
    <n v="86"/>
    <n v="2"/>
    <n v="86"/>
  </r>
  <r>
    <s v="NASSAU COUNTY JAIL"/>
    <x v="397"/>
    <s v="SARPYNE"/>
    <s v="NE"/>
    <m/>
    <s v="Sarpy "/>
    <x v="7"/>
    <n v="85"/>
    <n v="2"/>
    <n v="85"/>
  </r>
  <r>
    <s v="NASSAU UNIV MED CTR"/>
    <x v="398"/>
    <s v="GSCHOLD"/>
    <s v="CO"/>
    <s v="Glenwood Springs"/>
    <m/>
    <x v="4"/>
    <n v="83"/>
    <n v="2"/>
    <n v="83"/>
  </r>
  <r>
    <s v="NATRONA COUNTY JAIL"/>
    <x v="399"/>
    <s v="OAKHOLD"/>
    <m/>
    <m/>
    <m/>
    <x v="4"/>
    <n v="80"/>
    <n v="0"/>
    <n v="0"/>
  </r>
  <r>
    <s v="CAMERON COUNTY JAIL"/>
    <x v="400"/>
    <s v="HCPSCMS"/>
    <s v="MS"/>
    <m/>
    <s v="Hancock "/>
    <x v="5"/>
    <n v="6188"/>
    <n v="2"/>
    <n v="6188"/>
  </r>
  <r>
    <s v="NEVADA SOUTHERN DETENTION CENTER"/>
    <x v="401"/>
    <s v="WMDBHFL"/>
    <s v="FL"/>
    <m/>
    <s v="Miami-Dade"/>
    <x v="9"/>
    <n v="76"/>
    <n v="2"/>
    <n v="76"/>
  </r>
  <r>
    <s v="NEW HANOVER County DET CENTER"/>
    <x v="402"/>
    <s v="YORCOSC"/>
    <s v="SC"/>
    <m/>
    <s v="York"/>
    <x v="3"/>
    <n v="75"/>
    <n v="2"/>
    <n v="75"/>
  </r>
  <r>
    <s v="NEW ORLEANS HOLD ROOM"/>
    <x v="403"/>
    <s v="MHNHHTX"/>
    <s v="TX"/>
    <m/>
    <m/>
    <x v="9"/>
    <n v="73"/>
    <n v="1"/>
    <n v="0"/>
  </r>
  <r>
    <s v="NEW YORK PRESBYTERIAN HOSPITAL"/>
    <x v="404"/>
    <s v="POMHOLD"/>
    <s v="ME"/>
    <s v="Portland"/>
    <m/>
    <x v="4"/>
    <n v="73"/>
    <n v="2"/>
    <n v="73"/>
  </r>
  <r>
    <s v="NEW/INS OS HOLD ROOM"/>
    <x v="405"/>
    <s v="CRGHOLD"/>
    <s v="CO"/>
    <s v="Craig"/>
    <m/>
    <x v="4"/>
    <n v="68"/>
    <n v="2"/>
    <n v="68"/>
  </r>
  <r>
    <s v="NEWBURGH HOLDING"/>
    <x v="406"/>
    <s v="ELPCOTX"/>
    <s v="TX"/>
    <s v="El Paso"/>
    <s v="El Paso"/>
    <x v="7"/>
    <n v="68"/>
    <n v="3"/>
    <n v="68"/>
  </r>
  <r>
    <s v="NIAGARA COUNTY JAIL"/>
    <x v="407"/>
    <s v="STJONFL"/>
    <s v="FL"/>
    <m/>
    <s v="St. John's"/>
    <x v="7"/>
    <n v="68"/>
    <n v="2"/>
    <n v="68"/>
  </r>
  <r>
    <s v="NORFOLK CITY JAIL"/>
    <x v="408"/>
    <s v="BRGMCFL"/>
    <s v="FL"/>
    <m/>
    <m/>
    <x v="9"/>
    <n v="67"/>
    <n v="1"/>
    <n v="0"/>
  </r>
  <r>
    <s v="OTERO County PROCESSING CENTER"/>
    <x v="409"/>
    <s v="HCPSYTX"/>
    <s v="TX"/>
    <m/>
    <s v="Harris "/>
    <x v="9"/>
    <n v="38"/>
    <n v="2"/>
    <n v="38"/>
  </r>
  <r>
    <s v="NORTH LAKE CORRECTIONAL FACILITY"/>
    <x v="410"/>
    <s v="WICHOLD"/>
    <s v="KS"/>
    <s v="Wichita"/>
    <m/>
    <x v="4"/>
    <n v="66"/>
    <n v="2"/>
    <n v="66"/>
  </r>
  <r>
    <s v="NORTHEAST BAPTIST HOSPITAL"/>
    <x v="411"/>
    <s v="CHMHOLD"/>
    <s v="NY"/>
    <s v="Champlain"/>
    <m/>
    <x v="4"/>
    <n v="64"/>
    <n v="2"/>
    <n v="64"/>
  </r>
  <r>
    <s v="NORTHERN NECK REG. JAIL"/>
    <x v="412"/>
    <s v="MEDHOLD"/>
    <m/>
    <m/>
    <m/>
    <x v="4"/>
    <n v="64"/>
    <n v="0"/>
    <n v="0"/>
  </r>
  <r>
    <s v="NORTHERN REGIONAL JAIL"/>
    <x v="413"/>
    <s v="UNIONSD"/>
    <s v="SD"/>
    <m/>
    <s v="Union "/>
    <x v="7"/>
    <n v="64"/>
    <n v="2"/>
    <n v="64"/>
  </r>
  <r>
    <s v="NORTHWEST REG. ADULT DET."/>
    <x v="414"/>
    <s v="CASCAMT"/>
    <s v="MT"/>
    <m/>
    <s v="Cascade"/>
    <x v="7"/>
    <n v="63"/>
    <n v="2"/>
    <n v="63"/>
  </r>
  <r>
    <s v="NORTHWEST STATE CORRECTIONAL CTR."/>
    <x v="415"/>
    <s v="ABIRJVA"/>
    <s v="VA"/>
    <m/>
    <m/>
    <x v="7"/>
    <n v="62"/>
    <n v="1"/>
    <n v="0"/>
  </r>
  <r>
    <s v="NW ICE PROCESSING CTR"/>
    <x v="416"/>
    <s v="CGRMCAZ"/>
    <s v="AZ"/>
    <m/>
    <m/>
    <x v="9"/>
    <n v="61"/>
    <n v="1"/>
    <n v="0"/>
  </r>
  <r>
    <s v="NW REG JUV DET CTR"/>
    <x v="417"/>
    <s v="LRDMCTX"/>
    <s v="TX"/>
    <m/>
    <m/>
    <x v="9"/>
    <n v="61"/>
    <n v="1"/>
    <n v="0"/>
  </r>
  <r>
    <s v="NW REGIONAL CORRECTIONS CENTER"/>
    <x v="418"/>
    <s v="BROWNWI"/>
    <s v="WI"/>
    <m/>
    <s v="Brown"/>
    <x v="7"/>
    <n v="60"/>
    <n v="2"/>
    <n v="60"/>
  </r>
  <r>
    <s v="CORRECTIONS CENTER OF NW OHIO"/>
    <x v="419"/>
    <s v="HENDENV"/>
    <s v="NV"/>
    <s v="Henderson"/>
    <m/>
    <x v="3"/>
    <n v="2175"/>
    <n v="2"/>
    <n v="2175"/>
  </r>
  <r>
    <s v="NYE COUNTY SHERIFF-PAHRUMP"/>
    <x v="420"/>
    <s v="METROFL"/>
    <s v="FL"/>
    <m/>
    <m/>
    <x v="7"/>
    <n v="59"/>
    <n v="1"/>
    <n v="0"/>
  </r>
  <r>
    <s v="OAKDALE HOLDING ROOM"/>
    <x v="421"/>
    <s v="CHRISKY"/>
    <s v="KY"/>
    <m/>
    <s v="Christian"/>
    <x v="7"/>
    <n v="58"/>
    <n v="2"/>
    <n v="58"/>
  </r>
  <r>
    <s v="OGDEN HOLD ROOM"/>
    <x v="422"/>
    <s v="FRIRHTX"/>
    <s v="TX"/>
    <m/>
    <m/>
    <x v="9"/>
    <n v="57"/>
    <n v="1"/>
    <n v="0"/>
  </r>
  <r>
    <s v="OKLAHOMA CITY HOLD ROOM."/>
    <x v="423"/>
    <s v="KINNETX"/>
    <s v="TX"/>
    <m/>
    <s v="Kinney"/>
    <x v="7"/>
    <n v="55"/>
    <n v="2"/>
    <n v="55"/>
  </r>
  <r>
    <s v="OKMULGEE COUNTY JAIL"/>
    <x v="424"/>
    <s v="ALMHOLD"/>
    <s v="CO"/>
    <s v="Alamosa"/>
    <m/>
    <x v="4"/>
    <n v="54"/>
    <n v="2"/>
    <n v="54"/>
  </r>
  <r>
    <s v="OLDHAM COUNTY JAIL"/>
    <x v="425"/>
    <s v="CACHEUT"/>
    <s v="UT"/>
    <m/>
    <s v="Cache"/>
    <x v="7"/>
    <n v="52"/>
    <n v="2"/>
    <n v="52"/>
  </r>
  <r>
    <s v="OMAHA FO HOLD"/>
    <x v="426"/>
    <s v="KCCDCTX"/>
    <s v="TX"/>
    <m/>
    <s v="Karnes"/>
    <x v="3"/>
    <n v="51"/>
    <n v="2"/>
    <n v="51"/>
  </r>
  <r>
    <s v="ORANGE County GLOBAL MEDICAL CENTER"/>
    <x v="427"/>
    <s v="TBRJLME"/>
    <s v="ME"/>
    <m/>
    <m/>
    <x v="7"/>
    <n v="50"/>
    <n v="1"/>
    <n v="0"/>
  </r>
  <r>
    <s v="UVALDE COUNTY JAIL"/>
    <x v="428"/>
    <s v="HLFRJVA"/>
    <s v="VA"/>
    <m/>
    <s v="Halifax"/>
    <x v="5"/>
    <n v="1"/>
    <n v="2"/>
    <n v="1"/>
  </r>
  <r>
    <s v="ORANGE COUNTY JAIL"/>
    <x v="429"/>
    <s v="FLDADCI"/>
    <m/>
    <m/>
    <m/>
    <x v="2"/>
    <n v="42"/>
    <n v="0"/>
    <n v="0"/>
  </r>
  <r>
    <s v="SIOUX CITY HOLD ROOM"/>
    <x v="430"/>
    <s v="HRLGNTX"/>
    <s v="TX"/>
    <m/>
    <m/>
    <x v="6"/>
    <n v="4"/>
    <n v="1"/>
    <n v="0"/>
  </r>
  <r>
    <s v="OSCEOLA COUNTY JAIL"/>
    <x v="431"/>
    <s v="HHWHOLD"/>
    <m/>
    <m/>
    <m/>
    <x v="4"/>
    <n v="38"/>
    <n v="0"/>
    <n v="0"/>
  </r>
  <r>
    <s v="OTAY MESA DETENTION CENTER"/>
    <x v="432"/>
    <s v="PDNHOLD"/>
    <m/>
    <m/>
    <m/>
    <x v="4"/>
    <n v="38"/>
    <n v="0"/>
    <n v="0"/>
  </r>
  <r>
    <s v="WEBB COUNTY DETENTION CENTER (CCA)"/>
    <x v="433"/>
    <s v="IBPSMIA"/>
    <s v="IA"/>
    <m/>
    <m/>
    <x v="5"/>
    <n v="1"/>
    <n v="1"/>
    <n v="0"/>
  </r>
  <r>
    <s v="OTERO COUNTY DETENTION"/>
    <x v="434"/>
    <s v="DURHOLD"/>
    <s v="CO"/>
    <s v="Durango"/>
    <m/>
    <x v="4"/>
    <n v="37"/>
    <n v="2"/>
    <n v="37"/>
  </r>
  <r>
    <s v="OZARK COUNTY SHERIFF'S OFFICE"/>
    <x v="435"/>
    <s v="MHMSATX"/>
    <s v="TX"/>
    <m/>
    <m/>
    <x v="9"/>
    <n v="37"/>
    <n v="1"/>
    <n v="0"/>
  </r>
  <r>
    <s v="PALM BEACH COUNTY JAIL"/>
    <x v="436"/>
    <s v="EPLTATX"/>
    <s v="TX"/>
    <s v="El Paso"/>
    <s v="El Paso"/>
    <x v="9"/>
    <n v="37"/>
    <n v="3"/>
    <n v="37"/>
  </r>
  <r>
    <s v="PALMS BEHAVIORAL HEALTH"/>
    <x v="437"/>
    <s v="MONROFL"/>
    <s v="FL"/>
    <m/>
    <s v="Monroe "/>
    <x v="7"/>
    <n v="36"/>
    <n v="2"/>
    <n v="36"/>
  </r>
  <r>
    <s v="PAM HEALTH SPECIALTY HOSPITAL 1"/>
    <x v="438"/>
    <s v="UVALDTX"/>
    <s v="TX"/>
    <m/>
    <s v="Uvalde"/>
    <x v="7"/>
    <n v="36"/>
    <n v="2"/>
    <n v="36"/>
  </r>
  <r>
    <s v="PARADISE VALLEY HOSPITAL"/>
    <x v="439"/>
    <s v="BAYAMPR"/>
    <s v="PR"/>
    <m/>
    <s v="Bayamon"/>
    <x v="9"/>
    <n v="34"/>
    <n v="2"/>
    <n v="34"/>
  </r>
  <r>
    <s v="PARKLAND HOSPITAL"/>
    <x v="440"/>
    <s v="WEBERUT"/>
    <s v="UT"/>
    <m/>
    <s v="Weber "/>
    <x v="7"/>
    <n v="34"/>
    <n v="2"/>
    <n v="34"/>
  </r>
  <r>
    <s v="PDN HOLD ROOM"/>
    <x v="441"/>
    <s v="FSAHOLD"/>
    <s v="AR"/>
    <s v="Fort Smith"/>
    <m/>
    <x v="4"/>
    <n v="33"/>
    <n v="2"/>
    <n v="33"/>
  </r>
  <r>
    <s v="PEABODY PD"/>
    <x v="442"/>
    <s v="FRANKPA"/>
    <s v="PA"/>
    <m/>
    <s v="Franklin "/>
    <x v="7"/>
    <n v="32"/>
    <n v="2"/>
    <n v="32"/>
  </r>
  <r>
    <s v="PECOS HOLD ROOM"/>
    <x v="443"/>
    <s v="LARCOWY"/>
    <s v="WY"/>
    <m/>
    <s v="Laramie"/>
    <x v="7"/>
    <n v="31"/>
    <n v="2"/>
    <n v="31"/>
  </r>
  <r>
    <s v="PENNINGTON COUNTY JAIL SD"/>
    <x v="444"/>
    <s v="HAILEID"/>
    <s v="ID"/>
    <m/>
    <m/>
    <x v="3"/>
    <n v="31"/>
    <n v="1"/>
    <n v="0"/>
  </r>
  <r>
    <s v="PETERSBURG FED.CORR.INST."/>
    <x v="445"/>
    <s v="BIDHPMA"/>
    <s v="MA"/>
    <m/>
    <m/>
    <x v="9"/>
    <n v="30"/>
    <n v="1"/>
    <n v="0"/>
  </r>
  <r>
    <s v="PHELPS COUNTY JAIL"/>
    <x v="446"/>
    <s v="DAVISUT"/>
    <s v="UT"/>
    <m/>
    <s v="Davis "/>
    <x v="7"/>
    <n v="30"/>
    <n v="2"/>
    <n v="30"/>
  </r>
  <r>
    <s v="PHELPS COUNTY JAIL"/>
    <x v="447"/>
    <s v="CVREGVA"/>
    <s v="VA"/>
    <m/>
    <m/>
    <x v="7"/>
    <n v="29"/>
    <n v="1"/>
    <n v="0"/>
  </r>
  <r>
    <s v="PHI DISTRICT OFFICE"/>
    <x v="448"/>
    <s v="DSRTVCA"/>
    <s v="CA"/>
    <m/>
    <m/>
    <x v="9"/>
    <n v="28"/>
    <n v="1"/>
    <n v="0"/>
  </r>
  <r>
    <s v="PHOENIX DIST OFFICE"/>
    <x v="449"/>
    <s v="THHHBTX"/>
    <s v="TX"/>
    <m/>
    <m/>
    <x v="9"/>
    <n v="28"/>
    <n v="1"/>
    <n v="0"/>
  </r>
  <r>
    <s v="PHOENIX FED.CORR.INST."/>
    <x v="450"/>
    <s v="NRJDCVA"/>
    <s v="VA"/>
    <m/>
    <m/>
    <x v="3"/>
    <n v="26"/>
    <n v="1"/>
    <n v="0"/>
  </r>
  <r>
    <s v="PICKENS COUNTY DET CTR"/>
    <x v="451"/>
    <s v="FLGLRFL"/>
    <s v="FL"/>
    <m/>
    <s v="Flagler "/>
    <x v="7"/>
    <n v="25"/>
    <n v="2"/>
    <n v="25"/>
  </r>
  <r>
    <s v="CLARK COUNTY JAIL"/>
    <x v="452"/>
    <s v="JFKTSNY"/>
    <s v="NY"/>
    <s v="New York City"/>
    <m/>
    <x v="5"/>
    <n v="2832"/>
    <n v="2"/>
    <n v="2832"/>
  </r>
  <r>
    <s v="PIERCE COUNTY JAIL"/>
    <x v="453"/>
    <s v="CBPHOLD"/>
    <s v="NY"/>
    <s v="Buffalo"/>
    <m/>
    <x v="4"/>
    <n v="24"/>
    <n v="2"/>
    <n v="24"/>
  </r>
  <r>
    <s v="PIKE COUNTY ERO HOLD ROOM"/>
    <x v="454"/>
    <s v="SNJHOLD"/>
    <m/>
    <m/>
    <m/>
    <x v="4"/>
    <n v="24"/>
    <n v="0"/>
    <n v="0"/>
  </r>
  <r>
    <s v="CIBOLA COUNTY DET CTR"/>
    <x v="455"/>
    <s v="KCOJFOK"/>
    <s v="OK"/>
    <m/>
    <s v="Kay "/>
    <x v="5"/>
    <n v="2880"/>
    <n v="2"/>
    <n v="2880"/>
  </r>
  <r>
    <s v="PIMA COUNTY JAIL"/>
    <x v="456"/>
    <s v="HNDMCTX"/>
    <s v="TX"/>
    <m/>
    <m/>
    <x v="9"/>
    <n v="22"/>
    <n v="1"/>
    <n v="0"/>
  </r>
  <r>
    <s v="PINE PRAIRIE ICE PROCESSING CENTER"/>
    <x v="457"/>
    <s v="OGCMCCA"/>
    <s v="CA"/>
    <m/>
    <s v="Orange"/>
    <x v="9"/>
    <n v="22"/>
    <n v="2"/>
    <n v="22"/>
  </r>
  <r>
    <s v="PINELLAS COUNTY JAIL"/>
    <x v="202"/>
    <s v="POLKJFL"/>
    <s v="FL"/>
    <m/>
    <s v="Polk "/>
    <x v="7"/>
    <n v="22"/>
    <n v="2"/>
    <n v="22"/>
  </r>
  <r>
    <s v="PITTSBURGH HOLDROOM"/>
    <x v="458"/>
    <s v="GMHATGA"/>
    <s v="GA"/>
    <m/>
    <m/>
    <x v="9"/>
    <n v="21"/>
    <n v="1"/>
    <n v="0"/>
  </r>
  <r>
    <s v="PLATTE COUNTY JAIL"/>
    <x v="459"/>
    <s v="CINHOLD"/>
    <s v="OH"/>
    <s v="Cincinnati"/>
    <m/>
    <x v="4"/>
    <n v="20"/>
    <n v="2"/>
    <n v="20"/>
  </r>
  <r>
    <s v="PLYMOUTH County COR FACILTY"/>
    <x v="460"/>
    <s v="BLGHOLD"/>
    <s v="KY"/>
    <s v="Bowling Green"/>
    <m/>
    <x v="4"/>
    <n v="19"/>
    <n v="2"/>
    <n v="19"/>
  </r>
  <r>
    <s v="POLK COUNTY JAIL"/>
    <x v="461"/>
    <s v="GCPFCKS"/>
    <s v="KS"/>
    <m/>
    <s v="Finney"/>
    <x v="1"/>
    <n v="19"/>
    <n v="2"/>
    <n v="19"/>
  </r>
  <r>
    <s v="POLK COUNTY JAIL"/>
    <x v="340"/>
    <s v="UNIVHNJ"/>
    <s v="NJ"/>
    <m/>
    <m/>
    <x v="9"/>
    <n v="19"/>
    <n v="1"/>
    <n v="0"/>
  </r>
  <r>
    <s v="PORT ISABEL SPC"/>
    <x v="462"/>
    <s v="HENHOLD"/>
    <s v="TN"/>
    <s v="Hendersonville"/>
    <m/>
    <x v="4"/>
    <n v="18"/>
    <n v="2"/>
    <n v="18"/>
  </r>
  <r>
    <s v="CHAVEZ DET CRT"/>
    <x v="463"/>
    <s v="KRHUBFL"/>
    <s v="FL"/>
    <m/>
    <s v="Miami-Dade"/>
    <x v="5"/>
    <n v="3620"/>
    <n v="2"/>
    <n v="3620"/>
  </r>
  <r>
    <s v="PORTLAND, ME HOLDROOM"/>
    <x v="464"/>
    <s v="CHARLSC"/>
    <s v="SC"/>
    <m/>
    <s v="Charleston"/>
    <x v="2"/>
    <n v="18"/>
    <n v="2"/>
    <n v="18"/>
  </r>
  <r>
    <s v="POTOMAC HIGHLANDS REGIONAL JAIL"/>
    <x v="465"/>
    <s v="HELHOLD"/>
    <m/>
    <m/>
    <m/>
    <x v="4"/>
    <n v="18"/>
    <n v="0"/>
    <n v="0"/>
  </r>
  <r>
    <s v="POTTAWATTAMIE COUNTY JAIL"/>
    <x v="466"/>
    <s v="HENDENC"/>
    <s v="NC"/>
    <m/>
    <s v="Henderson "/>
    <x v="3"/>
    <n v="18"/>
    <n v="2"/>
    <n v="18"/>
  </r>
  <r>
    <s v="POTTER COUNTY JAIL"/>
    <x v="467"/>
    <s v="BOPSPG"/>
    <m/>
    <m/>
    <m/>
    <x v="9"/>
    <n v="17"/>
    <n v="0"/>
    <n v="0"/>
  </r>
  <r>
    <s v="PRAIRIELAND DETENTION CENTER"/>
    <x v="468"/>
    <s v="LYOLAIL"/>
    <s v="IL"/>
    <m/>
    <m/>
    <x v="9"/>
    <n v="17"/>
    <n v="1"/>
    <n v="0"/>
  </r>
  <r>
    <s v="LIMESTONE DET CENTER"/>
    <x v="469"/>
    <s v="LINCOMO"/>
    <s v="MO"/>
    <m/>
    <s v="Lincoln"/>
    <x v="6"/>
    <n v="223"/>
    <n v="2"/>
    <n v="223"/>
  </r>
  <r>
    <s v="PRESBYTERIAN HOSP ABQ"/>
    <x v="470"/>
    <s v="JMHOSFL"/>
    <s v="FL"/>
    <m/>
    <m/>
    <x v="9"/>
    <n v="16"/>
    <n v="1"/>
    <n v="0"/>
  </r>
  <r>
    <s v="PRINCE WILLIAM"/>
    <x v="471"/>
    <s v="DVCSDKY"/>
    <s v="KY"/>
    <m/>
    <s v="Daviess "/>
    <x v="3"/>
    <n v="16"/>
    <n v="2"/>
    <n v="16"/>
  </r>
  <r>
    <s v="PROHOLD"/>
    <x v="472"/>
    <s v="ECRMCCA"/>
    <s v="CA"/>
    <m/>
    <m/>
    <x v="9"/>
    <n v="15"/>
    <n v="1"/>
    <n v="0"/>
  </r>
  <r>
    <s v="TUCSON INS HOLD ROOM"/>
    <x v="473"/>
    <s v="LIRSFCO"/>
    <s v="CO"/>
    <m/>
    <m/>
    <x v="9"/>
    <n v="2"/>
    <n v="1"/>
    <n v="0"/>
  </r>
  <r>
    <s v="PUEBLO COUNTY JAIL"/>
    <x v="474"/>
    <s v="MHNSATX"/>
    <s v="TX"/>
    <m/>
    <m/>
    <x v="9"/>
    <n v="15"/>
    <n v="1"/>
    <n v="0"/>
  </r>
  <r>
    <s v="PUEBLO HOLDROOM"/>
    <x v="475"/>
    <s v="SIOUXIA"/>
    <s v="IA"/>
    <m/>
    <s v="Sioux "/>
    <x v="7"/>
    <n v="15"/>
    <n v="2"/>
    <n v="15"/>
  </r>
  <r>
    <s v="PUTNAM COUNTY JAIL"/>
    <x v="476"/>
    <s v="AKHIGHL"/>
    <m/>
    <m/>
    <m/>
    <x v="2"/>
    <n v="14"/>
    <n v="0"/>
    <n v="0"/>
  </r>
  <r>
    <s v="PUTNAM COUNTY SHERIFF"/>
    <x v="477"/>
    <s v="BMCSATX"/>
    <s v="TX"/>
    <m/>
    <m/>
    <x v="9"/>
    <n v="14"/>
    <n v="1"/>
    <n v="0"/>
  </r>
  <r>
    <s v="RALEIGH HOLD ROOM"/>
    <x v="478"/>
    <s v="BPC"/>
    <m/>
    <m/>
    <m/>
    <x v="1"/>
    <n v="14"/>
    <n v="0"/>
    <n v="0"/>
  </r>
  <r>
    <s v="PIEDMONT REG JAIL"/>
    <x v="479"/>
    <s v="LOUCOVA"/>
    <s v="VA"/>
    <m/>
    <s v="Loudoun "/>
    <x v="5"/>
    <n v="25"/>
    <n v="2"/>
    <n v="25"/>
  </r>
  <r>
    <s v="RAPID CITY HOLD ROOM"/>
    <x v="480"/>
    <s v="AZSVCPC"/>
    <m/>
    <m/>
    <m/>
    <x v="8"/>
    <n v="13"/>
    <n v="0"/>
    <n v="0"/>
  </r>
  <r>
    <s v="RAPP SEC CENTER"/>
    <x v="481"/>
    <s v="SAIHOLD"/>
    <m/>
    <m/>
    <m/>
    <x v="4"/>
    <n v="13"/>
    <n v="0"/>
    <n v="0"/>
  </r>
  <r>
    <s v="READING HOSPITAL"/>
    <x v="482"/>
    <s v="CMDHOLD"/>
    <s v="NY"/>
    <s v="Batavia"/>
    <m/>
    <x v="4"/>
    <n v="12"/>
    <n v="2"/>
    <n v="12"/>
  </r>
  <r>
    <s v="RED RIVER HOSPITAL"/>
    <x v="483"/>
    <s v="CHANRAZ"/>
    <s v="AZ"/>
    <m/>
    <m/>
    <x v="9"/>
    <n v="12"/>
    <n v="1"/>
    <n v="0"/>
  </r>
  <r>
    <s v="REDDING HOLD ROOM"/>
    <x v="484"/>
    <s v="RGHOSTX"/>
    <s v="TX"/>
    <m/>
    <m/>
    <x v="9"/>
    <n v="12"/>
    <n v="1"/>
    <n v="0"/>
  </r>
  <r>
    <s v="RENO HOLD ROOM"/>
    <x v="485"/>
    <s v="AGAHOLD"/>
    <s v="GU"/>
    <s v="Guam"/>
    <m/>
    <x v="4"/>
    <n v="11"/>
    <n v="2"/>
    <n v="11"/>
  </r>
  <r>
    <s v="RICHLAND HOLD ROOM"/>
    <x v="486"/>
    <s v="NASSAFL"/>
    <s v="FL"/>
    <m/>
    <s v="Nassau "/>
    <x v="7"/>
    <n v="11"/>
    <n v="2"/>
    <n v="11"/>
  </r>
  <r>
    <s v="RICHMOND SUB-OFFICE HOLD"/>
    <x v="487"/>
    <s v="NUMCENY"/>
    <s v="NY"/>
    <m/>
    <m/>
    <x v="9"/>
    <n v="11"/>
    <n v="1"/>
    <n v="0"/>
  </r>
  <r>
    <s v="RICHWOOD COR CENTER"/>
    <x v="488"/>
    <s v="ALEXAVA"/>
    <s v="VA"/>
    <m/>
    <m/>
    <x v="7"/>
    <n v="10"/>
    <n v="1"/>
    <n v="0"/>
  </r>
  <r>
    <s v="RIO GRANDE DETENTION CENTER"/>
    <x v="489"/>
    <s v="LPAPSAZ"/>
    <s v="AZ"/>
    <m/>
    <m/>
    <x v="2"/>
    <n v="10"/>
    <n v="1"/>
    <n v="0"/>
  </r>
  <r>
    <s v="RIO GRANDE ST.HOSPITAL"/>
    <x v="490"/>
    <s v="PALMBFL"/>
    <s v="FL"/>
    <m/>
    <s v="Palm Beach"/>
    <x v="7"/>
    <n v="10"/>
    <n v="2"/>
    <n v="10"/>
  </r>
  <r>
    <s v="RIO GRANDE VALLEY STAGING"/>
    <x v="491"/>
    <s v="ANCHOLD"/>
    <s v="AK"/>
    <s v="Anchorage"/>
    <m/>
    <x v="4"/>
    <n v="9"/>
    <n v="2"/>
    <n v="9"/>
  </r>
  <r>
    <s v="River Correctional Center"/>
    <x v="492"/>
    <s v="CAMCOWY"/>
    <s v="WY"/>
    <m/>
    <s v="Campbell"/>
    <x v="7"/>
    <n v="9"/>
    <n v="2"/>
    <n v="9"/>
  </r>
  <r>
    <s v="RIVERSIDE REG JAIL"/>
    <x v="493"/>
    <s v="HDHSPNV"/>
    <s v="NV"/>
    <m/>
    <m/>
    <x v="9"/>
    <n v="9"/>
    <n v="1"/>
    <n v="0"/>
  </r>
  <r>
    <s v="ROANOKE CITY JAIL"/>
    <x v="494"/>
    <s v="MHSOSTX"/>
    <s v="TX"/>
    <m/>
    <m/>
    <x v="9"/>
    <n v="9"/>
    <n v="1"/>
    <n v="0"/>
  </r>
  <r>
    <s v="ROANOKE SUB-OFFICE HOLD ROOM"/>
    <x v="495"/>
    <s v="ATLANGA"/>
    <s v="GA"/>
    <m/>
    <m/>
    <x v="3"/>
    <n v="8"/>
    <n v="1"/>
    <n v="0"/>
  </r>
  <r>
    <s v="ROBERT A DEYTON DETENTION FAC"/>
    <x v="496"/>
    <s v="BOPVIM"/>
    <m/>
    <m/>
    <m/>
    <x v="2"/>
    <n v="8"/>
    <n v="0"/>
    <n v="0"/>
  </r>
  <r>
    <s v="ROCK ISLAND COUNTY JAIL"/>
    <x v="497"/>
    <s v="CHSRHTX"/>
    <s v="TX"/>
    <m/>
    <m/>
    <x v="9"/>
    <n v="8"/>
    <n v="1"/>
    <n v="0"/>
  </r>
  <r>
    <s v="ROCK ISLAND HOLD ROOM"/>
    <x v="498"/>
    <s v="JHMCJNY"/>
    <s v="NY"/>
    <m/>
    <m/>
    <x v="9"/>
    <n v="8"/>
    <n v="1"/>
    <n v="0"/>
  </r>
  <r>
    <s v="ROCKINGHAM COUNTY JAIL"/>
    <x v="499"/>
    <s v="HARFOCT"/>
    <s v="CT"/>
    <m/>
    <s v="Hartford"/>
    <x v="2"/>
    <n v="8"/>
    <n v="2"/>
    <n v="8"/>
  </r>
  <r>
    <s v="ROLLING PLAINS DETENTION CENTER"/>
    <x v="500"/>
    <s v="MNROEMI"/>
    <s v="MI"/>
    <m/>
    <s v="Monroe"/>
    <x v="7"/>
    <n v="8"/>
    <n v="2"/>
    <n v="8"/>
  </r>
  <r>
    <s v="ROSWELL HOLD ROOM"/>
    <x v="501"/>
    <s v="WHITFGA"/>
    <s v="GA"/>
    <m/>
    <s v="Whitfield "/>
    <x v="7"/>
    <n v="8"/>
    <n v="2"/>
    <n v="8"/>
  </r>
  <r>
    <s v="SACRAMENTO HOLD"/>
    <x v="502"/>
    <s v="SCOTTNE"/>
    <s v="NE"/>
    <m/>
    <s v="Scotts Bluff "/>
    <x v="7"/>
    <n v="8"/>
    <n v="2"/>
    <n v="8"/>
  </r>
  <r>
    <s v="VIRGINIA BEACH"/>
    <x v="503"/>
    <s v="LPD77CA"/>
    <s v="CA"/>
    <m/>
    <s v="Los Angeles"/>
    <x v="6"/>
    <n v="1"/>
    <n v="2"/>
    <n v="1"/>
  </r>
  <r>
    <s v="SAIPAIN HOLD"/>
    <x v="504"/>
    <s v="ESSEXNJ"/>
    <s v="NJ"/>
    <m/>
    <s v="Essex "/>
    <x v="7"/>
    <n v="7"/>
    <n v="2"/>
    <n v="7"/>
  </r>
  <r>
    <s v="SAIPAN DEPARTMENT OF CORRECTIONS"/>
    <x v="505"/>
    <s v="PIERCND"/>
    <s v="ND"/>
    <m/>
    <s v="Pierce "/>
    <x v="7"/>
    <n v="7"/>
    <n v="2"/>
    <n v="7"/>
  </r>
  <r>
    <s v="SALEM COUNTY CORRECTIONAL FACILITY"/>
    <x v="506"/>
    <s v="SALINNE"/>
    <s v="NE"/>
    <m/>
    <s v="Saline "/>
    <x v="7"/>
    <n v="7"/>
    <n v="2"/>
    <n v="7"/>
  </r>
  <r>
    <s v="SALINE COUNTY JAIL"/>
    <x v="507"/>
    <s v="ETWHOLD"/>
    <m/>
    <m/>
    <m/>
    <x v="4"/>
    <n v="7"/>
    <n v="0"/>
    <n v="0"/>
  </r>
  <r>
    <s v="SALISBURY HOLD ROOM"/>
    <x v="508"/>
    <s v="PLMBHTX"/>
    <s v="TX"/>
    <m/>
    <m/>
    <x v="9"/>
    <n v="7"/>
    <n v="1"/>
    <n v="0"/>
  </r>
  <r>
    <s v="SALT LAKE CITY HOLD ROOM"/>
    <x v="509"/>
    <s v="PAMSATX"/>
    <s v="TX"/>
    <m/>
    <m/>
    <x v="9"/>
    <n v="6"/>
    <n v="1"/>
    <n v="0"/>
  </r>
  <r>
    <s v="SALT LAKE COUNTY JAIL"/>
    <x v="510"/>
    <s v="DENVECO"/>
    <s v="CO"/>
    <m/>
    <s v="Denver "/>
    <x v="7"/>
    <n v="6"/>
    <n v="2"/>
    <n v="6"/>
  </r>
  <r>
    <s v="SAN ANGELO HOLDROOM"/>
    <x v="511"/>
    <s v="DOUGLCO"/>
    <s v="CO"/>
    <m/>
    <s v="Douglas "/>
    <x v="3"/>
    <n v="6"/>
    <n v="2"/>
    <n v="6"/>
  </r>
  <r>
    <s v="SAN ANTONIO DRO HOLD ROOM"/>
    <x v="512"/>
    <s v="PKLDHTX"/>
    <s v="TX"/>
    <m/>
    <m/>
    <x v="9"/>
    <n v="6"/>
    <n v="1"/>
    <n v="0"/>
  </r>
  <r>
    <s v="SAN BERNARDINO HOLD ROOM"/>
    <x v="513"/>
    <s v="LEVYCFL"/>
    <s v="FL"/>
    <m/>
    <s v="Levy"/>
    <x v="7"/>
    <n v="6"/>
    <n v="2"/>
    <n v="6"/>
  </r>
  <r>
    <s v="SAN JUAN AIRPORT HOLD ROOM"/>
    <x v="514"/>
    <s v="PUTMAFL"/>
    <s v="FL"/>
    <m/>
    <s v="Putnam "/>
    <x v="7"/>
    <n v="6"/>
    <n v="2"/>
    <n v="6"/>
  </r>
  <r>
    <s v="SAN JUAN STAGING"/>
    <x v="515"/>
    <s v="STLUCFL"/>
    <s v="FL"/>
    <m/>
    <s v="St. Lucie "/>
    <x v="7"/>
    <n v="6"/>
    <n v="2"/>
    <n v="6"/>
  </r>
  <r>
    <s v="SAN JUAN SUB-OFFICE HOLD ROOM"/>
    <x v="516"/>
    <s v="TFALLID"/>
    <s v="ID"/>
    <m/>
    <s v="Twin Falls"/>
    <x v="7"/>
    <n v="6"/>
    <n v="2"/>
    <n v="6"/>
  </r>
  <r>
    <s v="SAN LUIS REGIONAL DET CENTER"/>
    <x v="517"/>
    <s v="YELLOMT"/>
    <s v="MT"/>
    <m/>
    <s v="Yellowstone "/>
    <x v="7"/>
    <n v="6"/>
    <n v="2"/>
    <n v="6"/>
  </r>
  <r>
    <s v="SANTA ANA CITY JAIL"/>
    <x v="518"/>
    <s v="SLHTWTX"/>
    <s v="TX"/>
    <m/>
    <m/>
    <x v="9"/>
    <n v="6"/>
    <n v="1"/>
    <n v="0"/>
  </r>
  <r>
    <s v="SANTA ANA DRO HOLDROOM"/>
    <x v="519"/>
    <s v="THHMHTX"/>
    <s v="TX"/>
    <m/>
    <m/>
    <x v="9"/>
    <n v="6"/>
    <n v="1"/>
    <n v="0"/>
  </r>
  <r>
    <s v="SANTA MARIA SUB OFFICE ERO"/>
    <x v="520"/>
    <s v="UNMEDMD"/>
    <s v="MD"/>
    <m/>
    <m/>
    <x v="9"/>
    <n v="6"/>
    <n v="1"/>
    <n v="0"/>
  </r>
  <r>
    <s v="SANTA ROSA COUNTY JAIL"/>
    <x v="521"/>
    <s v="COLUMFL"/>
    <s v="FL"/>
    <m/>
    <s v="Columbia"/>
    <x v="7"/>
    <n v="5"/>
    <n v="2"/>
    <n v="5"/>
  </r>
  <r>
    <s v="SARASOTA COUNTY JAIL"/>
    <x v="522"/>
    <s v="HMCHOTX"/>
    <s v="TX"/>
    <m/>
    <m/>
    <x v="9"/>
    <n v="5"/>
    <n v="1"/>
    <n v="0"/>
  </r>
  <r>
    <s v="SARPY COUNTY JAIL"/>
    <x v="523"/>
    <s v="CHRLTFL"/>
    <s v="FL"/>
    <m/>
    <s v="Charlotte"/>
    <x v="7"/>
    <n v="5"/>
    <n v="2"/>
    <n v="5"/>
  </r>
  <r>
    <s v="SAUK COUNTY SHERIFF"/>
    <x v="524"/>
    <s v="LHMCBMA"/>
    <s v="MA"/>
    <m/>
    <m/>
    <x v="9"/>
    <n v="5"/>
    <n v="1"/>
    <n v="0"/>
  </r>
  <r>
    <s v="SCOTTS BLUFF County JAIL"/>
    <x v="525"/>
    <s v="SUMMIUT"/>
    <s v="UT"/>
    <m/>
    <s v="Summit "/>
    <x v="7"/>
    <n v="5"/>
    <n v="2"/>
    <n v="5"/>
  </r>
  <r>
    <s v="SEATAC FED.DET.CENTER"/>
    <x v="526"/>
    <s v="PRSHANM"/>
    <s v="NM"/>
    <m/>
    <m/>
    <x v="9"/>
    <n v="5"/>
    <n v="1"/>
    <n v="0"/>
  </r>
  <r>
    <s v="SEATTLE FIELD OFFICE HOLD ROOM"/>
    <x v="527"/>
    <s v="LSFHOLD"/>
    <s v="TX"/>
    <s v="Los Fresnos"/>
    <m/>
    <x v="4"/>
    <n v="4"/>
    <n v="2"/>
    <n v="4"/>
  </r>
  <r>
    <s v="LA PAZ COUNTY ADULT DET. FAC."/>
    <x v="528"/>
    <s v="MANATFL"/>
    <s v="FL"/>
    <m/>
    <s v="Manatee "/>
    <x v="3"/>
    <n v="284"/>
    <n v="2"/>
    <n v="284"/>
  </r>
  <r>
    <s v="SEMINOLE COUNTY JAIL"/>
    <x v="529"/>
    <s v="BNMCTAZ"/>
    <s v="AZ"/>
    <m/>
    <m/>
    <x v="9"/>
    <n v="4"/>
    <n v="1"/>
    <n v="0"/>
  </r>
  <r>
    <s v="SENECA COUNTY JAIL"/>
    <x v="530"/>
    <s v="GALLAMT"/>
    <s v="MT"/>
    <m/>
    <s v="Gallatin "/>
    <x v="7"/>
    <n v="4"/>
    <n v="2"/>
    <n v="4"/>
  </r>
  <r>
    <s v="SENTARA CAREPLEX HOSPITAL"/>
    <x v="531"/>
    <s v="NORFOVA"/>
    <s v="VA"/>
    <m/>
    <s v="Norfolk City"/>
    <x v="7"/>
    <n v="4"/>
    <n v="2"/>
    <n v="4"/>
  </r>
  <r>
    <s v="VIRGINIA PENINSULA REG. JAIL"/>
    <x v="532"/>
    <s v="MCHENIL"/>
    <s v="IL"/>
    <m/>
    <s v="Mchenry"/>
    <x v="6"/>
    <n v="1"/>
    <n v="2"/>
    <n v="1"/>
  </r>
  <r>
    <s v="SHERBURNE COUNTY JAIL"/>
    <x v="533"/>
    <s v="BOPPHX"/>
    <m/>
    <m/>
    <m/>
    <x v="2"/>
    <n v="4"/>
    <n v="0"/>
    <n v="0"/>
  </r>
  <r>
    <s v="SHREVEPORT HOLD ROOM"/>
    <x v="534"/>
    <s v="HALLJGA"/>
    <s v="GA"/>
    <m/>
    <s v="Hall "/>
    <x v="7"/>
    <n v="4"/>
    <n v="2"/>
    <n v="4"/>
  </r>
  <r>
    <s v="WHITE MEMORIAL HOSPITAL"/>
    <x v="535"/>
    <s v="MEYTHCT"/>
    <s v="CT"/>
    <m/>
    <m/>
    <x v="5"/>
    <n v="1"/>
    <n v="1"/>
    <n v="0"/>
  </r>
  <r>
    <s v="SIOUX COUNTY JAIL"/>
    <x v="536"/>
    <s v="RDRVHTX"/>
    <s v="TX"/>
    <m/>
    <m/>
    <x v="9"/>
    <n v="4"/>
    <n v="1"/>
    <n v="0"/>
  </r>
  <r>
    <s v="ERIE COUNTY JAIL, PA"/>
    <x v="537"/>
    <s v="MONROMI"/>
    <s v="MI"/>
    <m/>
    <s v="Monroe"/>
    <x v="3"/>
    <n v="1218"/>
    <n v="2"/>
    <n v="1218"/>
  </r>
  <r>
    <s v="SND DISTRICT STAGING"/>
    <x v="538"/>
    <s v="BOPSET"/>
    <m/>
    <m/>
    <m/>
    <x v="3"/>
    <n v="3"/>
    <n v="0"/>
    <n v="0"/>
  </r>
  <r>
    <s v="SNJ HOLD ROOM"/>
    <x v="539"/>
    <s v="CIBOLNM"/>
    <s v="NM"/>
    <m/>
    <s v="Cibola"/>
    <x v="3"/>
    <n v="3"/>
    <n v="2"/>
    <n v="3"/>
  </r>
  <r>
    <s v="SOUTH BAY DETENT FACILITY"/>
    <x v="540"/>
    <s v="CULPEVA"/>
    <s v="VA"/>
    <m/>
    <s v="Culpeper"/>
    <x v="3"/>
    <n v="3"/>
    <n v="2"/>
    <n v="3"/>
  </r>
  <r>
    <s v="SOUTH CENTRAL REGIONAL JAIL"/>
    <x v="541"/>
    <s v="FNDDUWI"/>
    <s v="WI"/>
    <m/>
    <s v="Fond Du Lac"/>
    <x v="7"/>
    <n v="3"/>
    <n v="2"/>
    <n v="3"/>
  </r>
  <r>
    <s v="SOUTH LOUISIANA ICE PROC CTR"/>
    <x v="542"/>
    <s v="HUDSONJ"/>
    <s v="NJ"/>
    <m/>
    <s v="Hudson"/>
    <x v="7"/>
    <n v="3"/>
    <n v="2"/>
    <n v="3"/>
  </r>
  <r>
    <s v="SOUTH TEXAS FAM RESIDENTIAL CENTER"/>
    <x v="543"/>
    <s v="LOSCJCA"/>
    <s v="CA"/>
    <m/>
    <s v="Los Angeles"/>
    <x v="7"/>
    <n v="3"/>
    <n v="2"/>
    <n v="3"/>
  </r>
  <r>
    <s v="SOUTH TEXAS ICE PROCESSING CENTER"/>
    <x v="544"/>
    <s v="POTTRTX"/>
    <s v="TX"/>
    <m/>
    <s v="Potter "/>
    <x v="7"/>
    <n v="3"/>
    <n v="2"/>
    <n v="3"/>
  </r>
  <r>
    <s v="SOUTH TEXAS/PEARSALL HOLD ROOM"/>
    <x v="545"/>
    <s v="MOFFECO"/>
    <s v="CO"/>
    <m/>
    <s v="Moffat "/>
    <x v="7"/>
    <n v="3"/>
    <n v="2"/>
    <n v="3"/>
  </r>
  <r>
    <s v="LARKIN BEHAVIORAL HEALTH SVCS"/>
    <x v="546"/>
    <s v="NASTRNY"/>
    <s v="NY"/>
    <m/>
    <s v="Nassau "/>
    <x v="5"/>
    <n v="252"/>
    <n v="2"/>
    <n v="252"/>
  </r>
  <r>
    <s v="SPRINGFIELD FED.MED.CNTR"/>
    <x v="547"/>
    <s v="TOOLEMT"/>
    <s v="MT"/>
    <m/>
    <s v="Toole "/>
    <x v="7"/>
    <n v="3"/>
    <n v="2"/>
    <n v="3"/>
  </r>
  <r>
    <s v="ST LUKE'S HEALTH - THE WOODLANDS"/>
    <x v="548"/>
    <s v="WAKULFL"/>
    <s v="FL"/>
    <m/>
    <s v="Wakulla "/>
    <x v="7"/>
    <n v="3"/>
    <n v="2"/>
    <n v="3"/>
  </r>
  <r>
    <s v="ORANGE COUNTY JAIL"/>
    <x v="549"/>
    <s v="NWREGVA"/>
    <s v="VA"/>
    <m/>
    <m/>
    <x v="3"/>
    <n v="46"/>
    <n v="1"/>
    <n v="0"/>
  </r>
  <r>
    <s v="FOLKSTON ANNEX IPC"/>
    <x v="550"/>
    <s v="NYEPANV"/>
    <s v="NV"/>
    <m/>
    <s v="Nye"/>
    <x v="6"/>
    <n v="919"/>
    <n v="2"/>
    <n v="919"/>
  </r>
  <r>
    <s v="SFR HOLD ROOM"/>
    <x v="551"/>
    <s v="OTERONM"/>
    <s v="NM"/>
    <m/>
    <s v="Otero "/>
    <x v="3"/>
    <n v="4"/>
    <n v="2"/>
    <n v="4"/>
  </r>
  <r>
    <s v="ST. LOUIS HOLDROOM"/>
    <x v="552"/>
    <s v="MRREGVA"/>
    <s v="VA"/>
    <m/>
    <m/>
    <x v="7"/>
    <n v="3"/>
    <n v="1"/>
    <n v="0"/>
  </r>
  <r>
    <s v="ST. LUCIE COUNTY JAIL"/>
    <x v="553"/>
    <s v="NYFISHC"/>
    <m/>
    <m/>
    <m/>
    <x v="2"/>
    <n v="3"/>
    <n v="0"/>
    <n v="0"/>
  </r>
  <r>
    <s v="ST. MARY'S County DET CNTR"/>
    <x v="554"/>
    <s v="ARAPACO"/>
    <s v="CO"/>
    <m/>
    <s v="Arapahoe"/>
    <x v="7"/>
    <n v="2"/>
    <n v="2"/>
    <n v="2"/>
  </r>
  <r>
    <s v="STE. GENEVIEVE COUNTY SHERIFF/JAIL"/>
    <x v="555"/>
    <s v="LTVHOLD"/>
    <s v="VA"/>
    <s v="Lorton"/>
    <m/>
    <x v="4"/>
    <n v="2"/>
    <n v="2"/>
    <n v="2"/>
  </r>
  <r>
    <s v="STEWART DETENTION CENTER"/>
    <x v="556"/>
    <s v="MONTGAL"/>
    <s v="AL"/>
    <s v="Montgomery"/>
    <s v="Montgomery"/>
    <x v="3"/>
    <n v="2"/>
    <n v="3"/>
    <n v="2"/>
  </r>
  <r>
    <s v="STOCKTON STAGING FACILITY"/>
    <x v="557"/>
    <s v="BRDFDFL"/>
    <s v="FL"/>
    <m/>
    <s v="Bradford"/>
    <x v="7"/>
    <n v="2"/>
    <n v="2"/>
    <n v="2"/>
  </r>
  <r>
    <s v="STRAFFORD County DEPT OF CORR"/>
    <x v="558"/>
    <s v="CAMERTX"/>
    <s v="TX"/>
    <m/>
    <s v="Cameron"/>
    <x v="7"/>
    <n v="2"/>
    <n v="2"/>
    <n v="2"/>
  </r>
  <r>
    <s v="STUART HOLD ROOM"/>
    <x v="559"/>
    <s v="CHFLDVA"/>
    <s v="VA"/>
    <m/>
    <s v="Chesterfield"/>
    <x v="7"/>
    <n v="2"/>
    <n v="2"/>
    <n v="2"/>
  </r>
  <r>
    <s v="SUMMIT COUNTY JAIL"/>
    <x v="560"/>
    <s v="CITRUFL"/>
    <s v="FL"/>
    <m/>
    <s v="Citrus"/>
    <x v="7"/>
    <n v="2"/>
    <n v="2"/>
    <n v="2"/>
  </r>
  <r>
    <s v="HALL CO JAIL"/>
    <x v="561"/>
    <s v="OZARKMO"/>
    <s v="MO"/>
    <m/>
    <s v="Ozark"/>
    <x v="6"/>
    <n v="553"/>
    <n v="2"/>
    <n v="553"/>
  </r>
  <r>
    <s v="SUWANNEE COUNTY JAIL"/>
    <x v="562"/>
    <s v="AKFAIRB"/>
    <m/>
    <m/>
    <m/>
    <x v="2"/>
    <n v="2"/>
    <n v="0"/>
    <n v="0"/>
  </r>
  <r>
    <s v="SW VIRGINIA REG JAIL AUTH-ABG FAC"/>
    <x v="563"/>
    <s v="HENDRFL"/>
    <s v="FL"/>
    <m/>
    <s v="Hendry"/>
    <x v="7"/>
    <n v="2"/>
    <n v="2"/>
    <n v="2"/>
  </r>
  <r>
    <s v="SWEETWATER COUNTY JAIL"/>
    <x v="564"/>
    <s v="HENRIVA"/>
    <s v="VA"/>
    <m/>
    <s v="Henrico"/>
    <x v="7"/>
    <n v="2"/>
    <n v="2"/>
    <n v="2"/>
  </r>
  <r>
    <s v="SYRACUSE HOLD ROOM"/>
    <x v="565"/>
    <s v="PIMAJAZ"/>
    <s v="AZ"/>
    <m/>
    <s v="Pima "/>
    <x v="7"/>
    <n v="2"/>
    <n v="2"/>
    <n v="2"/>
  </r>
  <r>
    <s v="T DON HUTTO DETENTION CENTER"/>
    <x v="209"/>
    <s v="JEFFEIL"/>
    <s v="IL"/>
    <m/>
    <s v="Jefferson"/>
    <x v="7"/>
    <n v="2"/>
    <n v="2"/>
    <n v="2"/>
  </r>
  <r>
    <s v="TALLAHASSEE HOLD ROOM"/>
    <x v="566"/>
    <s v="LACKAPA"/>
    <s v="PA"/>
    <m/>
    <s v="Lackawanna"/>
    <x v="7"/>
    <n v="2"/>
    <n v="2"/>
    <n v="2"/>
  </r>
  <r>
    <s v="TWIN FALLS COUNTY JAIL"/>
    <x v="567"/>
    <s v="PBDPDMA"/>
    <s v="MA"/>
    <m/>
    <m/>
    <x v="5"/>
    <n v="2"/>
    <n v="1"/>
    <n v="0"/>
  </r>
  <r>
    <s v="TAYLOR COUNTY ADULT DET."/>
    <x v="568"/>
    <s v="OKMULOK"/>
    <s v="OK"/>
    <m/>
    <s v="Okmulgee"/>
    <x v="7"/>
    <n v="2"/>
    <n v="2"/>
    <n v="2"/>
  </r>
  <r>
    <s v="CALHOMI CALHOUN CO., BATTLE CR,MI"/>
    <x v="569"/>
    <s v="PLYMOMA"/>
    <s v="MA"/>
    <m/>
    <s v="Plymouth"/>
    <x v="2"/>
    <n v="6313"/>
    <n v="2"/>
    <n v="6313"/>
  </r>
  <r>
    <s v="FAYETTE COUNTY DETENTION CENTER"/>
    <x v="570"/>
    <s v="PUTNMTN"/>
    <s v="TN"/>
    <m/>
    <s v="Putnam "/>
    <x v="6"/>
    <n v="1079"/>
    <n v="2"/>
    <n v="1079"/>
  </r>
  <r>
    <s v="TEXARKANA HOLDROOM"/>
    <x v="571"/>
    <s v="PUEBLCO"/>
    <s v="CO"/>
    <m/>
    <s v="Pueblo"/>
    <x v="7"/>
    <n v="2"/>
    <n v="2"/>
    <n v="2"/>
  </r>
  <r>
    <s v="TITUS COUNTY JAIL"/>
    <x v="572"/>
    <s v="CNTRHWA"/>
    <s v="WA"/>
    <m/>
    <m/>
    <x v="9"/>
    <n v="2"/>
    <n v="1"/>
    <n v="0"/>
  </r>
  <r>
    <s v="TOM GREEN CTY JAIL"/>
    <x v="573"/>
    <s v="GADRYJM"/>
    <m/>
    <m/>
    <m/>
    <x v="8"/>
    <n v="2"/>
    <n v="0"/>
    <n v="0"/>
  </r>
  <r>
    <s v="TOOELE COUNTY JAIL"/>
    <x v="574"/>
    <s v="HARRIMS"/>
    <s v="MS"/>
    <m/>
    <m/>
    <x v="3"/>
    <n v="2"/>
    <n v="1"/>
    <n v="0"/>
  </r>
  <r>
    <s v="TEX HEALTH HUGULEY HOSP"/>
    <x v="575"/>
    <s v="PWILLVA"/>
    <s v="VA"/>
    <m/>
    <s v="Prince William"/>
    <x v="5"/>
    <n v="2"/>
    <n v="2"/>
    <n v="2"/>
  </r>
  <r>
    <s v="TORRANCE/ESTANCIA, NM"/>
    <x v="576"/>
    <s v="HASKLTX"/>
    <s v="TX"/>
    <m/>
    <m/>
    <x v="3"/>
    <n v="2"/>
    <n v="1"/>
    <n v="0"/>
  </r>
  <r>
    <s v="TUCSON FED.CORR.INST."/>
    <x v="577"/>
    <s v="LIMMCTX"/>
    <s v="TX"/>
    <m/>
    <m/>
    <x v="9"/>
    <n v="2"/>
    <n v="1"/>
    <n v="0"/>
  </r>
  <r>
    <s v="HENDRICK MEDICAL CENTER"/>
    <x v="578"/>
    <s v="RAPPSVA"/>
    <s v="VA"/>
    <m/>
    <m/>
    <x v="5"/>
    <n v="454"/>
    <n v="1"/>
    <n v="0"/>
  </r>
  <r>
    <s v="TULSA COUNTY JAIL"/>
    <x v="579"/>
    <s v="LPZRHAZ"/>
    <s v="AZ"/>
    <m/>
    <m/>
    <x v="9"/>
    <n v="2"/>
    <n v="1"/>
    <n v="0"/>
  </r>
  <r>
    <s v="TULSA HOLD ROOM"/>
    <x v="580"/>
    <s v="MRMCSCA"/>
    <s v="CA"/>
    <m/>
    <m/>
    <x v="9"/>
    <n v="2"/>
    <n v="1"/>
    <n v="0"/>
  </r>
  <r>
    <s v="TURNER GUIFORD KNIGHT (TGK) JAIL"/>
    <x v="581"/>
    <s v="NYGREAC"/>
    <m/>
    <m/>
    <m/>
    <x v="2"/>
    <n v="2"/>
    <n v="0"/>
    <n v="0"/>
  </r>
  <r>
    <s v="MILLER COUNTY JAIL"/>
    <x v="582"/>
    <s v="SAUKCWI"/>
    <s v="WI"/>
    <m/>
    <s v="Sauk "/>
    <x v="6"/>
    <n v="115"/>
    <n v="2"/>
    <n v="115"/>
  </r>
  <r>
    <s v="TWIN FALLS HOLD ROOM"/>
    <x v="583"/>
    <s v="SACITCA"/>
    <s v="CA"/>
    <m/>
    <m/>
    <x v="7"/>
    <n v="2"/>
    <n v="1"/>
    <n v="0"/>
  </r>
  <r>
    <s v="BANNER MEDICAL CTR TUCSON"/>
    <x v="584"/>
    <s v="STFRCTX"/>
    <s v="TX"/>
    <s v="Dilley"/>
    <m/>
    <x v="5"/>
    <n v="14912"/>
    <n v="2"/>
    <n v="14912"/>
  </r>
  <r>
    <s v="TX HLTH HARRIS METH HOSP"/>
    <x v="585"/>
    <s v="BILHOLD"/>
    <s v="MT"/>
    <s v="Billings"/>
    <m/>
    <x v="4"/>
    <n v="1"/>
    <n v="2"/>
    <n v="1"/>
  </r>
  <r>
    <s v="US MARSHALS, W.D. LA."/>
    <x v="586"/>
    <s v="GRIHOLD"/>
    <s v="NE"/>
    <s v="Grand Island"/>
    <m/>
    <x v="4"/>
    <n v="1"/>
    <n v="2"/>
    <n v="1"/>
  </r>
  <r>
    <s v="ST. GEORGE, UT HOLDROOM"/>
    <x v="587"/>
    <s v="TAYLOTX"/>
    <s v="TX"/>
    <m/>
    <s v="Taylor "/>
    <x v="3"/>
    <n v="3"/>
    <n v="2"/>
    <n v="3"/>
  </r>
  <r>
    <s v="UINTA COUNTY JAIL"/>
    <x v="588"/>
    <s v="AKGSCCC"/>
    <m/>
    <m/>
    <m/>
    <x v="2"/>
    <n v="1"/>
    <n v="0"/>
    <n v="0"/>
  </r>
  <r>
    <s v="UMASS MEMORIAL MEDICAL CENTER"/>
    <x v="589"/>
    <s v="ANDERSC"/>
    <s v="SC"/>
    <m/>
    <s v="Anderson"/>
    <x v="3"/>
    <n v="1"/>
    <n v="2"/>
    <n v="1"/>
  </r>
  <r>
    <s v="BUFFALO SPC"/>
    <x v="590"/>
    <s v="TOORANM"/>
    <s v="NM"/>
    <m/>
    <s v="Torrance"/>
    <x v="5"/>
    <n v="7267"/>
    <n v="2"/>
    <n v="7267"/>
  </r>
  <r>
    <s v="UNIVERSITY HOSPITAL"/>
    <x v="591"/>
    <s v="BERGENJ"/>
    <s v="NJ"/>
    <m/>
    <s v="Bergen"/>
    <x v="7"/>
    <n v="1"/>
    <n v="2"/>
    <n v="1"/>
  </r>
  <r>
    <s v="UNIVERSITY HOSPITAL"/>
    <x v="592"/>
    <s v="SUWANFL"/>
    <s v="FL"/>
    <m/>
    <s v="Suwannee "/>
    <x v="7"/>
    <n v="1"/>
    <n v="2"/>
    <n v="1"/>
  </r>
  <r>
    <s v="UNIV OF MARYLAND MEDICAL CENTER"/>
    <x v="593"/>
    <s v="FORSYNC"/>
    <s v="NC"/>
    <m/>
    <s v="Forsyth "/>
    <x v="7"/>
    <n v="1"/>
    <n v="2"/>
    <n v="1"/>
  </r>
  <r>
    <s v="URSULA CENTRALIZED PROCESSING CNTR"/>
    <x v="594"/>
    <s v="FREDEMD"/>
    <s v="MD"/>
    <m/>
    <s v="Frederick"/>
    <x v="3"/>
    <n v="1"/>
    <n v="2"/>
    <n v="1"/>
  </r>
  <r>
    <s v="USP CANAAN"/>
    <x v="595"/>
    <s v="GOODCID"/>
    <s v="ID"/>
    <m/>
    <s v="Gooding"/>
    <x v="7"/>
    <n v="1"/>
    <n v="2"/>
    <n v="1"/>
  </r>
  <r>
    <s v="NORFOLK SUB-OFFICE HOLD"/>
    <x v="596"/>
    <s v="UCBPMCA"/>
    <s v="CA"/>
    <m/>
    <m/>
    <x v="5"/>
    <n v="67"/>
    <n v="1"/>
    <n v="0"/>
  </r>
  <r>
    <s v="VAL VERDE DETENTION CENTER"/>
    <x v="597"/>
    <s v="HAMILTN"/>
    <s v="TN"/>
    <m/>
    <s v="Hamilton"/>
    <x v="7"/>
    <n v="1"/>
    <n v="2"/>
    <n v="1"/>
  </r>
  <r>
    <s v="VALLEY BAPTIST HOSPITAL"/>
    <x v="598"/>
    <s v="HCMCMMN"/>
    <s v="MN"/>
    <m/>
    <s v="Hennepin"/>
    <x v="9"/>
    <n v="1"/>
    <n v="2"/>
    <n v="1"/>
  </r>
  <r>
    <s v="VALLEYWISE HEALTH MED CTR"/>
    <x v="599"/>
    <s v="HIDALTX"/>
    <s v="TX"/>
    <m/>
    <s v="Hidalgo"/>
    <x v="7"/>
    <n v="1"/>
    <n v="2"/>
    <n v="1"/>
  </r>
  <r>
    <s v="TWO BRIDGES REGIONAL JAIL"/>
    <x v="600"/>
    <s v="USMWDLA"/>
    <s v="LA"/>
    <m/>
    <m/>
    <x v="5"/>
    <n v="2"/>
    <n v="1"/>
    <n v="0"/>
  </r>
  <r>
    <s v="VENTURA CUSTODY CASE"/>
    <x v="601"/>
    <s v="BARTOGA"/>
    <s v="GA"/>
    <m/>
    <s v="Bartow"/>
    <x v="7"/>
    <n v="1"/>
    <n v="2"/>
    <n v="1"/>
  </r>
  <r>
    <s v="VICTOR VALLEY GLOBAL MED CENTER"/>
    <x v="602"/>
    <s v="BOPMRG"/>
    <m/>
    <m/>
    <m/>
    <x v="2"/>
    <n v="1"/>
    <n v="0"/>
    <n v="0"/>
  </r>
  <r>
    <s v="VICTORIA COUNTY JAIL"/>
    <x v="603"/>
    <s v="BOPPET"/>
    <m/>
    <m/>
    <m/>
    <x v="2"/>
    <n v="1"/>
    <n v="0"/>
    <n v="0"/>
  </r>
  <r>
    <s v="RANDALL COUNTY JAIL"/>
    <x v="604"/>
    <s v="VIRBEVA"/>
    <s v="VA"/>
    <m/>
    <m/>
    <x v="5"/>
    <n v="14"/>
    <n v="1"/>
    <n v="0"/>
  </r>
  <r>
    <s v="NELSON COLEMAN CORRECTIONS CENTER"/>
    <x v="605"/>
    <s v="VRK"/>
    <m/>
    <m/>
    <m/>
    <x v="5"/>
    <n v="76"/>
    <n v="0"/>
    <n v="0"/>
  </r>
  <r>
    <s v="VRK PRCS"/>
    <x v="606"/>
    <s v="BOPRAE"/>
    <s v="AE"/>
    <m/>
    <m/>
    <x v="2"/>
    <n v="1"/>
    <n v="1"/>
    <n v="0"/>
  </r>
  <r>
    <s v="WACounty DRO HOLD ROOM"/>
    <x v="607"/>
    <s v="MIDMHTX"/>
    <s v="TX"/>
    <m/>
    <s v="Midland"/>
    <x v="9"/>
    <n v="1"/>
    <n v="2"/>
    <n v="1"/>
  </r>
  <r>
    <s v="WAKULLA COUNTY JAIL"/>
    <x v="278"/>
    <s v="MONTGTX"/>
    <s v="TX"/>
    <s v="Conroe"/>
    <s v="Montgomery"/>
    <x v="7"/>
    <n v="1"/>
    <n v="3"/>
    <n v="1"/>
  </r>
  <r>
    <s v="WALTON COUNTY D.O.C."/>
    <x v="608"/>
    <s v="BOPTCN"/>
    <m/>
    <m/>
    <m/>
    <x v="2"/>
    <n v="1"/>
    <n v="0"/>
    <n v="0"/>
  </r>
  <r>
    <s v="TOOLE COUNTY JAIL"/>
    <x v="609"/>
    <s v="WALTNFL"/>
    <s v="FL"/>
    <m/>
    <s v="Walton "/>
    <x v="5"/>
    <n v="2"/>
    <n v="2"/>
    <n v="2"/>
  </r>
  <r>
    <s v="WARD COUNTY JAIL"/>
    <x v="610"/>
    <s v="ROCKIIL"/>
    <s v="IL"/>
    <m/>
    <s v="Rock Island"/>
    <x v="7"/>
    <n v="1"/>
    <n v="2"/>
    <n v="1"/>
  </r>
  <r>
    <s v="WASHINGTON CO. DETENTION"/>
    <x v="611"/>
    <s v="SALEMNJ"/>
    <s v="NJ"/>
    <m/>
    <s v="Salem"/>
    <x v="2"/>
    <n v="1"/>
    <n v="2"/>
    <n v="1"/>
  </r>
  <r>
    <s v="WASHINGTON COUNTY JAIL"/>
    <x v="612"/>
    <s v="SROSAFL"/>
    <s v="FL"/>
    <m/>
    <s v="Santa Rosa "/>
    <x v="7"/>
    <n v="1"/>
    <n v="2"/>
    <n v="1"/>
  </r>
  <r>
    <s v="WASHINGTON COUNTY JAIL"/>
    <x v="613"/>
    <s v="VENTUCA"/>
    <s v="CA"/>
    <m/>
    <s v="Ventura"/>
    <x v="7"/>
    <n v="1"/>
    <n v="2"/>
    <n v="1"/>
  </r>
  <r>
    <s v="WASHINGTON COUNTY JAIL"/>
    <x v="614"/>
    <s v="YORCOPA"/>
    <s v="PA"/>
    <m/>
    <s v="York"/>
    <x v="7"/>
    <n v="1"/>
    <n v="2"/>
    <n v="1"/>
  </r>
  <r>
    <s v="WASHINGTON FIELD OFFICE"/>
    <x v="615"/>
    <s v="ZAVCOTX"/>
    <s v="TX"/>
    <m/>
    <s v="Zavala "/>
    <x v="7"/>
    <n v="1"/>
    <n v="2"/>
    <n v="1"/>
  </r>
  <r>
    <s v="WASHOE COUNTY JAIL"/>
    <x v="616"/>
    <s v="GREENMA"/>
    <s v="MA"/>
    <m/>
    <m/>
    <x v="2"/>
    <n v="1"/>
    <n v="1"/>
    <n v="0"/>
  </r>
  <r>
    <s v="WAUKESHA COUNTY JAIL"/>
    <x v="617"/>
    <s v="HNYHOMI"/>
    <s v="MI"/>
    <m/>
    <m/>
    <x v="9"/>
    <n v="1"/>
    <n v="1"/>
    <n v="0"/>
  </r>
  <r>
    <s v="ST. CLAIR COUNTY JAIL"/>
    <x v="618"/>
    <s v="WASHIMD"/>
    <s v="MD"/>
    <m/>
    <s v="Washington "/>
    <x v="3"/>
    <n v="3"/>
    <n v="2"/>
    <n v="3"/>
  </r>
  <r>
    <s v="WEBER COUNTY JAIL"/>
    <x v="619"/>
    <s v="INTPOOK"/>
    <s v="OK"/>
    <m/>
    <m/>
    <x v="9"/>
    <n v="1"/>
    <n v="1"/>
    <n v="0"/>
  </r>
  <r>
    <s v="WENATCHEE HOLD ROOM"/>
    <x v="620"/>
    <s v="JOPSHTX"/>
    <s v="TX"/>
    <m/>
    <m/>
    <x v="9"/>
    <n v="1"/>
    <n v="1"/>
    <n v="0"/>
  </r>
  <r>
    <s v="WEST KENDALL BAPTIST HOSP"/>
    <x v="621"/>
    <s v="KENTHRI"/>
    <s v="RI"/>
    <m/>
    <m/>
    <x v="9"/>
    <n v="1"/>
    <n v="1"/>
    <n v="0"/>
  </r>
  <r>
    <s v="WEST MIAMI DADE BAPT HEALTH EMERG"/>
    <x v="622"/>
    <s v="KODIAAK"/>
    <s v="AK"/>
    <m/>
    <m/>
    <x v="7"/>
    <n v="1"/>
    <n v="1"/>
    <n v="0"/>
  </r>
  <r>
    <s v="WESTERN TENNESSEE DET. FAC."/>
    <x v="623"/>
    <s v="LAKMCFL"/>
    <s v="FL"/>
    <m/>
    <m/>
    <x v="9"/>
    <n v="1"/>
    <n v="1"/>
    <n v="0"/>
  </r>
  <r>
    <s v="WESTERN VIRGINIA REGIONAL JAIL"/>
    <x v="624"/>
    <s v="MCMEDAZ"/>
    <s v="AZ"/>
    <m/>
    <m/>
    <x v="9"/>
    <n v="1"/>
    <n v="1"/>
    <n v="0"/>
  </r>
  <r>
    <s v="AUSTIN DRO HOLD ROOM"/>
    <x v="625"/>
    <s v="WCCPBFL"/>
    <s v="FL"/>
    <s v="Pompano Beach"/>
    <m/>
    <x v="5"/>
    <n v="16267"/>
    <n v="2"/>
    <n v="16267"/>
  </r>
  <r>
    <s v="WHITFIELD COUNTY JAIL"/>
    <x v="626"/>
    <s v="NEBHSTX"/>
    <s v="TX"/>
    <m/>
    <m/>
    <x v="9"/>
    <n v="1"/>
    <n v="1"/>
    <n v="0"/>
  </r>
  <r>
    <s v="WICHITA HOLDROOM"/>
    <x v="627"/>
    <s v="NNREGVA"/>
    <s v="VA"/>
    <m/>
    <m/>
    <x v="7"/>
    <n v="1"/>
    <n v="1"/>
    <n v="0"/>
  </r>
  <r>
    <s v="WILLIAMSPORT HOLD ROOM"/>
    <x v="628"/>
    <s v="NYGROVC"/>
    <m/>
    <m/>
    <m/>
    <x v="2"/>
    <n v="1"/>
    <n v="0"/>
    <n v="0"/>
  </r>
  <r>
    <s v="WINN CORRECTIONAL CENTER"/>
    <x v="629"/>
    <s v="NYMARCC"/>
    <m/>
    <m/>
    <m/>
    <x v="2"/>
    <n v="1"/>
    <n v="0"/>
    <n v="0"/>
  </r>
  <r>
    <s v="WOODBURY COUNTY JAIL"/>
    <x v="630"/>
    <s v="PMREGVA"/>
    <s v="VA"/>
    <m/>
    <m/>
    <x v="7"/>
    <n v="1"/>
    <n v="1"/>
    <n v="0"/>
  </r>
  <r>
    <s v="WVU MEDICINE BERKELEY MEDICAL CNTR"/>
    <x v="631"/>
    <s v="RDHOSPA"/>
    <s v="PA"/>
    <m/>
    <m/>
    <x v="9"/>
    <n v="1"/>
    <n v="1"/>
    <n v="0"/>
  </r>
  <r>
    <s v="WYATT DETENTION CENTER"/>
    <x v="632"/>
    <s v="SOBAYCA"/>
    <s v="CA"/>
    <m/>
    <m/>
    <x v="3"/>
    <n v="1"/>
    <n v="1"/>
    <n v="0"/>
  </r>
  <r>
    <s v="YAKIMA SUB-OFFICE"/>
    <x v="633"/>
    <s v="STCHOVA"/>
    <s v="VA"/>
    <m/>
    <m/>
    <x v="9"/>
    <n v="1"/>
    <n v="1"/>
    <n v="0"/>
  </r>
  <r>
    <s v="YELLOWSTONE COUNTY JAIL"/>
    <x v="634"/>
    <s v="UBRKHWV"/>
    <s v="WV"/>
    <m/>
    <m/>
    <x v="9"/>
    <n v="1"/>
    <n v="1"/>
    <n v="0"/>
  </r>
  <r>
    <s v="YORK COUNTY DETENTION CENTER"/>
    <x v="635"/>
    <s v="SMARYMD"/>
    <s v="MD"/>
    <m/>
    <s v="St. Mary's"/>
    <x v="3"/>
    <n v="1"/>
    <n v="2"/>
    <n v="1"/>
  </r>
  <r>
    <s v="YORK COUNTY JAIL, PA"/>
    <x v="636"/>
    <s v="UCCHIIL"/>
    <s v="IL"/>
    <m/>
    <m/>
    <x v="9"/>
    <n v="1"/>
    <n v="1"/>
    <n v="0"/>
  </r>
  <r>
    <s v="YORK HOLD ROOM"/>
    <x v="637"/>
    <s v="UMASSMA"/>
    <s v="MA"/>
    <m/>
    <m/>
    <x v="9"/>
    <n v="1"/>
    <n v="1"/>
    <n v="0"/>
  </r>
  <r>
    <s v="YUMA HOLDROOM"/>
    <x v="638"/>
    <s v="VPREGVA"/>
    <s v="VA"/>
    <m/>
    <m/>
    <x v="7"/>
    <n v="1"/>
    <n v="1"/>
    <n v="0"/>
  </r>
  <r>
    <s v="ZAVALA COUNTY JAIL"/>
    <x v="639"/>
    <s v="WVPTMAC"/>
    <m/>
    <m/>
    <m/>
    <x v="7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7DD82-B397-40AD-AB28-D5F978774091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0" firstHeaderRow="1" firstDataRow="1" firstDataCol="1" rowPageCount="1" colPageCount="1"/>
  <pivotFields count="10">
    <pivotField showAll="0"/>
    <pivotField axis="axisRow" showAll="0">
      <items count="644">
        <item x="11"/>
        <item x="74"/>
        <item x="288"/>
        <item x="76"/>
        <item x="51"/>
        <item x="424"/>
        <item x="252"/>
        <item x="212"/>
        <item x="488"/>
        <item x="0"/>
        <item x="352"/>
        <item x="61"/>
        <item x="54"/>
        <item x="172"/>
        <item x="365"/>
        <item x="491"/>
        <item x="589"/>
        <item x="554"/>
        <item x="480"/>
        <item x="381"/>
        <item x="36"/>
        <item x="495"/>
        <item x="78"/>
        <item x="56"/>
        <item x="35"/>
        <item x="428"/>
        <item x="157"/>
        <item x="64"/>
        <item x="93"/>
        <item x="232"/>
        <item x="83"/>
        <item x="529"/>
        <item x="477"/>
        <item x="601"/>
        <item x="482"/>
        <item x="70"/>
        <item x="439"/>
        <item x="351"/>
        <item x="591"/>
        <item x="445"/>
        <item x="72"/>
        <item x="206"/>
        <item x="585"/>
        <item x="236"/>
        <item x="73"/>
        <item x="22"/>
        <item x="261"/>
        <item x="105"/>
        <item x="77"/>
        <item x="478"/>
        <item x="329"/>
        <item x="460"/>
        <item x="557"/>
        <item x="343"/>
        <item x="38"/>
        <item x="317"/>
        <item x="215"/>
        <item x="408"/>
        <item x="625"/>
        <item x="418"/>
        <item x="319"/>
        <item x="42"/>
        <item x="453"/>
        <item x="360"/>
        <item x="394"/>
        <item x="144"/>
        <item x="596"/>
        <item x="374"/>
        <item x="425"/>
        <item x="205"/>
        <item x="130"/>
        <item x="136"/>
        <item x="558"/>
        <item x="256"/>
        <item x="492"/>
        <item x="84"/>
        <item x="416"/>
        <item x="414"/>
        <item x="320"/>
        <item x="358"/>
        <item x="347"/>
        <item x="159"/>
        <item x="18"/>
        <item x="447"/>
        <item x="268"/>
        <item x="572"/>
        <item x="411"/>
        <item x="483"/>
        <item x="464"/>
        <item x="118"/>
        <item x="357"/>
        <item x="312"/>
        <item x="523"/>
        <item x="98"/>
        <item x="112"/>
        <item x="169"/>
        <item x="254"/>
        <item x="384"/>
        <item x="559"/>
        <item x="339"/>
        <item x="255"/>
        <item x="272"/>
        <item x="175"/>
        <item x="226"/>
        <item x="421"/>
        <item x="497"/>
        <item x="95"/>
        <item x="539"/>
        <item x="109"/>
        <item x="459"/>
        <item x="560"/>
        <item x="277"/>
        <item x="196"/>
        <item x="391"/>
        <item x="186"/>
        <item x="292"/>
        <item x="89"/>
        <item x="330"/>
        <item x="243"/>
        <item x="350"/>
        <item x="235"/>
        <item x="521"/>
        <item x="231"/>
        <item x="349"/>
        <item x="23"/>
        <item x="270"/>
        <item x="264"/>
        <item x="153"/>
        <item x="68"/>
        <item x="182"/>
        <item x="405"/>
        <item x="540"/>
        <item x="221"/>
        <item x="573"/>
        <item x="429"/>
        <item x="246"/>
        <item x="92"/>
        <item x="16"/>
        <item x="471"/>
        <item x="446"/>
        <item x="201"/>
        <item x="82"/>
        <item x="28"/>
        <item x="510"/>
        <item x="120"/>
        <item x="370"/>
        <item x="335"/>
        <item x="448"/>
        <item x="126"/>
        <item x="283"/>
        <item x="100"/>
        <item x="121"/>
        <item x="282"/>
        <item x="511"/>
        <item x="276"/>
        <item x="208"/>
        <item x="387"/>
        <item x="434"/>
        <item x="301"/>
        <item x="251"/>
        <item x="431"/>
        <item x="163"/>
        <item x="321"/>
        <item x="90"/>
        <item x="281"/>
        <item x="472"/>
        <item x="363"/>
        <item x="298"/>
        <item x="406"/>
        <item x="436"/>
        <item x="14"/>
        <item x="285"/>
        <item x="21"/>
        <item x="39"/>
        <item x="274"/>
        <item x="5"/>
        <item x="223"/>
        <item x="504"/>
        <item x="104"/>
        <item x="507"/>
        <item x="332"/>
        <item x="562"/>
        <item x="62"/>
        <item x="228"/>
        <item x="344"/>
        <item x="189"/>
        <item x="496"/>
        <item x="117"/>
        <item x="323"/>
        <item x="275"/>
        <item x="553"/>
        <item x="451"/>
        <item x="248"/>
        <item x="10"/>
        <item x="2"/>
        <item x="322"/>
        <item x="273"/>
        <item x="80"/>
        <item x="166"/>
        <item x="41"/>
        <item x="541"/>
        <item x="593"/>
        <item x="131"/>
        <item x="441"/>
        <item x="442"/>
        <item x="616"/>
        <item x="594"/>
        <item x="240"/>
        <item x="176"/>
        <item x="115"/>
        <item x="422"/>
        <item x="314"/>
        <item x="530"/>
        <item x="461"/>
        <item x="346"/>
        <item x="378"/>
        <item x="210"/>
        <item x="141"/>
        <item x="398"/>
        <item x="354"/>
        <item x="595"/>
        <item x="588"/>
        <item x="458"/>
        <item x="331"/>
        <item x="299"/>
        <item x="586"/>
        <item x="294"/>
        <item x="290"/>
        <item x="174"/>
        <item x="581"/>
        <item x="116"/>
        <item x="238"/>
        <item x="628"/>
        <item x="485"/>
        <item x="107"/>
        <item x="444"/>
        <item x="534"/>
        <item x="373"/>
        <item x="597"/>
        <item x="400"/>
        <item x="316"/>
        <item x="63"/>
        <item x="522"/>
        <item x="430"/>
        <item x="409"/>
        <item x="574"/>
        <item x="259"/>
        <item x="499"/>
        <item x="164"/>
        <item x="296"/>
        <item x="375"/>
        <item x="465"/>
        <item x="466"/>
        <item x="419"/>
        <item x="493"/>
        <item x="462"/>
        <item x="456"/>
        <item x="563"/>
        <item x="598"/>
        <item x="564"/>
        <item x="617"/>
        <item x="599"/>
        <item x="476"/>
        <item x="371"/>
        <item x="220"/>
        <item x="249"/>
        <item x="30"/>
        <item x="177"/>
        <item x="542"/>
        <item x="25"/>
        <item x="369"/>
        <item x="45"/>
        <item x="241"/>
        <item x="67"/>
        <item x="619"/>
        <item x="385"/>
        <item x="470"/>
        <item x="143"/>
        <item x="19"/>
        <item x="135"/>
        <item x="498"/>
        <item x="209"/>
        <item x="452"/>
        <item x="24"/>
        <item x="620"/>
        <item x="132"/>
        <item x="119"/>
        <item x="426"/>
        <item x="265"/>
        <item x="15"/>
        <item x="455"/>
        <item x="621"/>
        <item x="280"/>
        <item x="26"/>
        <item x="423"/>
        <item x="91"/>
        <item x="151"/>
        <item x="622"/>
        <item x="46"/>
        <item x="13"/>
        <item x="463"/>
        <item x="489"/>
        <item x="284"/>
        <item x="579"/>
        <item x="185"/>
        <item x="566"/>
        <item x="524"/>
        <item x="386"/>
        <item x="623"/>
        <item x="443"/>
        <item x="127"/>
        <item x="417"/>
        <item x="60"/>
        <item x="364"/>
        <item x="217"/>
        <item x="368"/>
        <item x="140"/>
        <item x="305"/>
        <item x="122"/>
        <item x="31"/>
        <item x="513"/>
        <item x="155"/>
        <item x="372"/>
        <item x="577"/>
        <item x="145"/>
        <item x="295"/>
        <item x="469"/>
        <item x="311"/>
        <item x="473"/>
        <item x="133"/>
        <item x="245"/>
        <item x="233"/>
        <item x="111"/>
        <item x="555"/>
        <item x="543"/>
        <item x="503"/>
        <item x="34"/>
        <item x="527"/>
        <item x="479"/>
        <item x="324"/>
        <item x="300"/>
        <item x="468"/>
        <item x="213"/>
        <item x="179"/>
        <item x="137"/>
        <item x="204"/>
        <item x="535"/>
        <item x="528"/>
        <item x="318"/>
        <item x="629"/>
        <item x="580"/>
        <item x="624"/>
        <item x="195"/>
        <item x="308"/>
        <item x="50"/>
        <item x="393"/>
        <item x="59"/>
        <item x="532"/>
        <item x="353"/>
        <item x="606"/>
        <item x="412"/>
        <item x="403"/>
        <item x="108"/>
        <item x="161"/>
        <item x="435"/>
        <item x="474"/>
        <item x="494"/>
        <item x="420"/>
        <item x="85"/>
        <item x="433"/>
        <item x="389"/>
        <item x="134"/>
        <item x="44"/>
        <item x="552"/>
        <item x="310"/>
        <item x="607"/>
        <item x="181"/>
        <item x="250"/>
        <item x="211"/>
        <item x="269"/>
        <item x="267"/>
        <item x="178"/>
        <item x="545"/>
        <item x="537"/>
        <item x="437"/>
        <item x="500"/>
        <item x="278"/>
        <item x="556"/>
        <item x="20"/>
        <item x="4"/>
        <item x="602"/>
        <item x="29"/>
        <item x="103"/>
        <item x="390"/>
        <item x="334"/>
        <item m="1" x="640"/>
        <item x="338"/>
        <item x="138"/>
        <item x="546"/>
        <item x="486"/>
        <item x="487"/>
        <item x="286"/>
        <item x="303"/>
        <item x="71"/>
        <item x="257"/>
        <item x="293"/>
        <item x="379"/>
        <item x="247"/>
        <item x="207"/>
        <item x="359"/>
        <item x="531"/>
        <item x="198"/>
        <item x="123"/>
        <item x="626"/>
        <item x="627"/>
        <item x="253"/>
        <item x="43"/>
        <item x="549"/>
        <item x="162"/>
        <item x="327"/>
        <item x="450"/>
        <item x="40"/>
        <item x="550"/>
        <item x="399"/>
        <item x="216"/>
        <item x="81"/>
        <item x="568"/>
        <item x="168"/>
        <item x="101"/>
        <item x="457"/>
        <item x="86"/>
        <item x="48"/>
        <item x="289"/>
        <item x="6"/>
        <item x="551"/>
        <item x="17"/>
        <item x="561"/>
        <item x="490"/>
        <item x="508"/>
        <item x="509"/>
        <item x="388"/>
        <item x="512"/>
        <item x="432"/>
        <item x="567"/>
        <item x="192"/>
        <item x="348"/>
        <item x="603"/>
        <item x="262"/>
        <item x="110"/>
        <item x="33"/>
        <item x="533"/>
        <item x="57"/>
        <item x="630"/>
        <item x="505"/>
        <item x="229"/>
        <item x="99"/>
        <item x="565"/>
        <item x="3"/>
        <item x="79"/>
        <item x="183"/>
        <item x="242"/>
        <item m="1" x="641"/>
        <item x="202"/>
        <item x="1"/>
        <item x="194"/>
        <item x="404"/>
        <item x="639"/>
        <item x="193"/>
        <item x="544"/>
        <item x="12"/>
        <item x="313"/>
        <item x="526"/>
        <item x="575"/>
        <item x="227"/>
        <item x="222"/>
        <item x="571"/>
        <item x="234"/>
        <item x="514"/>
        <item x="570"/>
        <item x="124"/>
        <item x="345"/>
        <item x="377"/>
        <item x="578"/>
        <item x="631"/>
        <item x="536"/>
        <item x="333"/>
        <item x="309"/>
        <item x="362"/>
        <item x="49"/>
        <item x="32"/>
        <item x="37"/>
        <item x="484"/>
        <item x="304"/>
        <item x="69"/>
        <item x="142"/>
        <item x="315"/>
        <item x="266"/>
        <item x="160"/>
        <item x="610"/>
        <item x="244"/>
        <item x="287"/>
        <item x="576"/>
        <item x="203"/>
        <item x="200"/>
        <item x="367"/>
        <item x="481"/>
        <item x="382"/>
        <item x="611"/>
        <item x="506"/>
        <item x="187"/>
        <item x="75"/>
        <item x="129"/>
        <item x="146"/>
        <item x="47"/>
        <item x="106"/>
        <item x="184"/>
        <item x="128"/>
        <item x="225"/>
        <item x="55"/>
        <item x="583"/>
        <item x="94"/>
        <item x="147"/>
        <item x="612"/>
        <item x="297"/>
        <item x="397"/>
        <item x="582"/>
        <item x="502"/>
        <item x="538"/>
        <item x="125"/>
        <item x="258"/>
        <item x="376"/>
        <item x="167"/>
        <item x="633"/>
        <item x="148"/>
        <item x="197"/>
        <item x="218"/>
        <item x="380"/>
        <item x="475"/>
        <item x="326"/>
        <item x="53"/>
        <item x="454"/>
        <item x="632"/>
        <item x="224"/>
        <item x="27"/>
        <item x="584"/>
        <item x="7"/>
        <item x="154"/>
        <item x="219"/>
        <item x="467"/>
        <item x="518"/>
        <item x="170"/>
        <item x="271"/>
        <item x="407"/>
        <item x="158"/>
        <item x="515"/>
        <item x="635"/>
        <item x="190"/>
        <item x="8"/>
        <item x="188"/>
        <item x="171"/>
        <item x="173"/>
        <item x="525"/>
        <item x="383"/>
        <item x="592"/>
        <item x="415"/>
        <item x="302"/>
        <item x="325"/>
        <item x="65"/>
        <item x="114"/>
        <item x="52"/>
        <item m="1" x="642"/>
        <item x="395"/>
        <item x="449"/>
        <item x="291"/>
        <item x="356"/>
        <item x="306"/>
        <item x="230"/>
        <item x="547"/>
        <item x="590"/>
        <item x="608"/>
        <item x="139"/>
        <item x="87"/>
        <item x="191"/>
        <item x="199"/>
        <item x="516"/>
        <item x="328"/>
        <item x="427"/>
        <item x="519"/>
        <item x="600"/>
        <item x="88"/>
        <item x="636"/>
        <item x="214"/>
        <item x="637"/>
        <item x="413"/>
        <item x="340"/>
        <item x="520"/>
        <item x="97"/>
        <item x="438"/>
        <item x="156"/>
        <item x="336"/>
        <item x="342"/>
        <item x="613"/>
        <item x="102"/>
        <item x="307"/>
        <item x="396"/>
        <item x="604"/>
        <item x="638"/>
        <item x="605"/>
        <item x="113"/>
        <item x="548"/>
        <item x="609"/>
        <item x="149"/>
        <item x="366"/>
        <item x="618"/>
        <item x="152"/>
        <item x="58"/>
        <item x="180"/>
        <item x="279"/>
        <item x="66"/>
        <item x="440"/>
        <item x="361"/>
        <item x="355"/>
        <item x="401"/>
        <item x="341"/>
        <item x="263"/>
        <item x="392"/>
        <item x="501"/>
        <item x="410"/>
        <item x="337"/>
        <item x="9"/>
        <item x="260"/>
        <item x="634"/>
        <item x="150"/>
        <item x="237"/>
        <item x="517"/>
        <item x="402"/>
        <item x="614"/>
        <item x="165"/>
        <item x="239"/>
        <item x="615"/>
        <item x="96"/>
        <item x="569"/>
        <item x="58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4">
        <item x="5"/>
        <item h="1" x="2"/>
        <item h="1" m="1" x="11"/>
        <item h="1" m="1" x="12"/>
        <item h="1" x="4"/>
        <item h="1" x="7"/>
        <item h="1" x="9"/>
        <item h="1" x="8"/>
        <item h="1" x="1"/>
        <item h="1" m="1" x="10"/>
        <item h="1" x="0"/>
        <item h="1" x="3"/>
        <item h="1" x="6"/>
        <item t="default"/>
      </items>
    </pivotField>
    <pivotField showAll="0"/>
    <pivotField showAll="0"/>
    <pivotField showAll="0"/>
  </pivotFields>
  <rowFields count="1">
    <field x="1"/>
  </rowFields>
  <rowItems count="47">
    <i>
      <x v="11"/>
    </i>
    <i>
      <x v="12"/>
    </i>
    <i>
      <x v="22"/>
    </i>
    <i>
      <x v="25"/>
    </i>
    <i>
      <x v="35"/>
    </i>
    <i>
      <x v="40"/>
    </i>
    <i>
      <x v="58"/>
    </i>
    <i>
      <x v="66"/>
    </i>
    <i>
      <x v="70"/>
    </i>
    <i>
      <x v="71"/>
    </i>
    <i>
      <x v="84"/>
    </i>
    <i>
      <x v="91"/>
    </i>
    <i>
      <x v="100"/>
    </i>
    <i>
      <x v="102"/>
    </i>
    <i>
      <x v="112"/>
    </i>
    <i>
      <x v="124"/>
    </i>
    <i>
      <x v="129"/>
    </i>
    <i>
      <x v="148"/>
    </i>
    <i>
      <x v="150"/>
    </i>
    <i>
      <x v="154"/>
    </i>
    <i>
      <x v="158"/>
    </i>
    <i>
      <x v="171"/>
    </i>
    <i>
      <x v="195"/>
    </i>
    <i>
      <x v="219"/>
    </i>
    <i>
      <x v="223"/>
    </i>
    <i>
      <x v="239"/>
    </i>
    <i>
      <x v="250"/>
    </i>
    <i>
      <x v="282"/>
    </i>
    <i>
      <x v="290"/>
    </i>
    <i>
      <x v="293"/>
    </i>
    <i>
      <x v="300"/>
    </i>
    <i>
      <x v="319"/>
    </i>
    <i>
      <x v="338"/>
    </i>
    <i>
      <x v="346"/>
    </i>
    <i>
      <x v="354"/>
    </i>
    <i>
      <x v="369"/>
    </i>
    <i>
      <x v="398"/>
    </i>
    <i>
      <x v="443"/>
    </i>
    <i>
      <x v="472"/>
    </i>
    <i>
      <x v="482"/>
    </i>
    <i>
      <x v="544"/>
    </i>
    <i>
      <x v="578"/>
    </i>
    <i>
      <x v="588"/>
    </i>
    <i>
      <x v="605"/>
    </i>
    <i>
      <x v="607"/>
    </i>
    <i>
      <x v="610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CD71-169D-4CD6-BDBC-168B19B9E268}">
  <dimension ref="A1:A50"/>
  <sheetViews>
    <sheetView topLeftCell="A10" workbookViewId="0">
      <selection activeCell="A42" sqref="A42"/>
    </sheetView>
  </sheetViews>
  <sheetFormatPr defaultRowHeight="14.4" x14ac:dyDescent="0.3"/>
  <cols>
    <col min="1" max="1" width="38.33203125" bestFit="1" customWidth="1"/>
    <col min="2" max="2" width="6.88671875" bestFit="1" customWidth="1"/>
  </cols>
  <sheetData>
    <row r="1" spans="1:1" x14ac:dyDescent="0.3">
      <c r="A1" s="5" t="s">
        <v>2554</v>
      </c>
    </row>
    <row r="3" spans="1:1" x14ac:dyDescent="0.3">
      <c r="A3" s="5" t="s">
        <v>2564</v>
      </c>
    </row>
    <row r="4" spans="1:1" x14ac:dyDescent="0.3">
      <c r="A4" s="6" t="s">
        <v>1624</v>
      </c>
    </row>
    <row r="5" spans="1:1" x14ac:dyDescent="0.3">
      <c r="A5" s="6" t="s">
        <v>1627</v>
      </c>
    </row>
    <row r="6" spans="1:1" x14ac:dyDescent="0.3">
      <c r="A6" s="6" t="s">
        <v>1658</v>
      </c>
    </row>
    <row r="7" spans="1:1" x14ac:dyDescent="0.3">
      <c r="A7" s="6" t="s">
        <v>1666</v>
      </c>
    </row>
    <row r="8" spans="1:1" x14ac:dyDescent="0.3">
      <c r="A8" s="6" t="s">
        <v>1694</v>
      </c>
    </row>
    <row r="9" spans="1:1" x14ac:dyDescent="0.3">
      <c r="A9" s="6" t="s">
        <v>1709</v>
      </c>
    </row>
    <row r="10" spans="1:1" x14ac:dyDescent="0.3">
      <c r="A10" s="6" t="s">
        <v>1759</v>
      </c>
    </row>
    <row r="11" spans="1:1" x14ac:dyDescent="0.3">
      <c r="A11" s="6" t="s">
        <v>1821</v>
      </c>
    </row>
    <row r="12" spans="1:1" x14ac:dyDescent="0.3">
      <c r="A12" s="6" t="s">
        <v>1792</v>
      </c>
    </row>
    <row r="13" spans="1:1" x14ac:dyDescent="0.3">
      <c r="A13" s="6" t="s">
        <v>1795</v>
      </c>
    </row>
    <row r="14" spans="1:1" x14ac:dyDescent="0.3">
      <c r="A14" s="6" t="s">
        <v>1842</v>
      </c>
    </row>
    <row r="15" spans="1:1" x14ac:dyDescent="0.3">
      <c r="A15" s="6" t="s">
        <v>1862</v>
      </c>
    </row>
    <row r="16" spans="1:1" x14ac:dyDescent="0.3">
      <c r="A16" s="6" t="s">
        <v>1891</v>
      </c>
    </row>
    <row r="17" spans="1:1" x14ac:dyDescent="0.3">
      <c r="A17" s="6" t="s">
        <v>1897</v>
      </c>
    </row>
    <row r="18" spans="1:1" x14ac:dyDescent="0.3">
      <c r="A18" s="6" t="s">
        <v>1926</v>
      </c>
    </row>
    <row r="19" spans="1:1" x14ac:dyDescent="0.3">
      <c r="A19" s="6" t="s">
        <v>29</v>
      </c>
    </row>
    <row r="20" spans="1:1" x14ac:dyDescent="0.3">
      <c r="A20" s="6" t="s">
        <v>40</v>
      </c>
    </row>
    <row r="21" spans="1:1" x14ac:dyDescent="0.3">
      <c r="A21" s="6" t="s">
        <v>118</v>
      </c>
    </row>
    <row r="22" spans="1:1" x14ac:dyDescent="0.3">
      <c r="A22" s="6" t="s">
        <v>127</v>
      </c>
    </row>
    <row r="23" spans="1:1" x14ac:dyDescent="0.3">
      <c r="A23" s="6" t="s">
        <v>136</v>
      </c>
    </row>
    <row r="24" spans="1:1" x14ac:dyDescent="0.3">
      <c r="A24" s="6" t="s">
        <v>214</v>
      </c>
    </row>
    <row r="25" spans="1:1" x14ac:dyDescent="0.3">
      <c r="A25" s="6" t="s">
        <v>187</v>
      </c>
    </row>
    <row r="26" spans="1:1" x14ac:dyDescent="0.3">
      <c r="A26" s="6" t="s">
        <v>283</v>
      </c>
    </row>
    <row r="27" spans="1:1" x14ac:dyDescent="0.3">
      <c r="A27" s="6" t="s">
        <v>358</v>
      </c>
    </row>
    <row r="28" spans="1:1" x14ac:dyDescent="0.3">
      <c r="A28" s="6" t="s">
        <v>371</v>
      </c>
    </row>
    <row r="29" spans="1:1" x14ac:dyDescent="0.3">
      <c r="A29" s="6" t="s">
        <v>2541</v>
      </c>
    </row>
    <row r="30" spans="1:1" x14ac:dyDescent="0.3">
      <c r="A30" s="6" t="s">
        <v>444</v>
      </c>
    </row>
    <row r="31" spans="1:1" x14ac:dyDescent="0.3">
      <c r="A31" s="6" t="s">
        <v>1980</v>
      </c>
    </row>
    <row r="32" spans="1:1" x14ac:dyDescent="0.3">
      <c r="A32" s="6" t="s">
        <v>1987</v>
      </c>
    </row>
    <row r="33" spans="1:1" x14ac:dyDescent="0.3">
      <c r="A33" s="6" t="s">
        <v>567</v>
      </c>
    </row>
    <row r="34" spans="1:1" x14ac:dyDescent="0.3">
      <c r="A34" s="6" t="s">
        <v>589</v>
      </c>
    </row>
    <row r="35" spans="1:1" x14ac:dyDescent="0.3">
      <c r="A35" s="6" t="s">
        <v>642</v>
      </c>
    </row>
    <row r="36" spans="1:1" x14ac:dyDescent="0.3">
      <c r="A36" s="6" t="s">
        <v>699</v>
      </c>
    </row>
    <row r="37" spans="1:1" x14ac:dyDescent="0.3">
      <c r="A37" s="6" t="s">
        <v>725</v>
      </c>
    </row>
    <row r="38" spans="1:1" x14ac:dyDescent="0.3">
      <c r="A38" s="6" t="s">
        <v>751</v>
      </c>
    </row>
    <row r="39" spans="1:1" x14ac:dyDescent="0.3">
      <c r="A39" s="6" t="s">
        <v>796</v>
      </c>
    </row>
    <row r="40" spans="1:1" x14ac:dyDescent="0.3">
      <c r="A40" s="6" t="s">
        <v>881</v>
      </c>
    </row>
    <row r="41" spans="1:1" x14ac:dyDescent="0.3">
      <c r="A41" s="6" t="s">
        <v>1008</v>
      </c>
    </row>
    <row r="42" spans="1:1" x14ac:dyDescent="0.3">
      <c r="A42" s="6" t="s">
        <v>1091</v>
      </c>
    </row>
    <row r="43" spans="1:1" x14ac:dyDescent="0.3">
      <c r="A43" s="6" t="s">
        <v>2535</v>
      </c>
    </row>
    <row r="44" spans="1:1" x14ac:dyDescent="0.3">
      <c r="A44" s="6" t="s">
        <v>2413</v>
      </c>
    </row>
    <row r="45" spans="1:1" x14ac:dyDescent="0.3">
      <c r="A45" s="6" t="s">
        <v>1397</v>
      </c>
    </row>
    <row r="46" spans="1:1" x14ac:dyDescent="0.3">
      <c r="A46" s="6" t="s">
        <v>193</v>
      </c>
    </row>
    <row r="47" spans="1:1" x14ac:dyDescent="0.3">
      <c r="A47" s="6" t="s">
        <v>1481</v>
      </c>
    </row>
    <row r="48" spans="1:1" x14ac:dyDescent="0.3">
      <c r="A48" s="6" t="s">
        <v>1487</v>
      </c>
    </row>
    <row r="49" spans="1:1" x14ac:dyDescent="0.3">
      <c r="A49" s="6" t="s">
        <v>1494</v>
      </c>
    </row>
    <row r="50" spans="1:1" x14ac:dyDescent="0.3">
      <c r="A50" s="6" t="s">
        <v>2565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tabSelected="1" topLeftCell="B1" zoomScale="115" zoomScaleNormal="115" workbookViewId="0">
      <pane ySplit="2" topLeftCell="A166" activePane="bottomLeft" state="frozen"/>
      <selection activeCell="B1" sqref="B1"/>
      <selection pane="bottomLeft" activeCell="K176" sqref="K176"/>
    </sheetView>
  </sheetViews>
  <sheetFormatPr defaultRowHeight="14.4" x14ac:dyDescent="0.3"/>
  <cols>
    <col min="1" max="1" width="0" hidden="1" customWidth="1"/>
    <col min="2" max="2" width="38.33203125" customWidth="1"/>
    <col min="3" max="3" width="12.77734375" customWidth="1"/>
    <col min="4" max="5" width="14.77734375" customWidth="1"/>
    <col min="6" max="7" width="16.77734375" customWidth="1"/>
  </cols>
  <sheetData>
    <row r="1" spans="1:10" x14ac:dyDescent="0.3">
      <c r="J1" s="2">
        <f>SUM(J3:J651)/SUM(H3:H651)</f>
        <v>0.90337409022378667</v>
      </c>
    </row>
    <row r="2" spans="1:10" x14ac:dyDescent="0.3">
      <c r="A2" t="s">
        <v>0</v>
      </c>
      <c r="B2" s="1" t="s">
        <v>1</v>
      </c>
      <c r="C2" s="1" t="s">
        <v>2</v>
      </c>
      <c r="D2" s="1" t="s">
        <v>2218</v>
      </c>
      <c r="E2" s="1" t="s">
        <v>2220</v>
      </c>
      <c r="F2" s="1" t="s">
        <v>2299</v>
      </c>
      <c r="G2" s="1" t="s">
        <v>2554</v>
      </c>
      <c r="H2" s="1" t="s">
        <v>2216</v>
      </c>
      <c r="I2" s="1" t="s">
        <v>2217</v>
      </c>
      <c r="J2" s="1" t="s">
        <v>2217</v>
      </c>
    </row>
    <row r="3" spans="1:10" x14ac:dyDescent="0.3">
      <c r="A3" t="s">
        <v>1586</v>
      </c>
      <c r="B3" t="s">
        <v>1616</v>
      </c>
      <c r="C3" t="s">
        <v>1617</v>
      </c>
      <c r="D3" t="s">
        <v>99</v>
      </c>
      <c r="E3" t="s">
        <v>1618</v>
      </c>
      <c r="G3" t="str" cm="1">
        <f t="array" ref="G3">_xlfn.IFS(
ISNUMBER(SEARCH("hold",C3)),"hold",
ISNUMBER(SEARCH("youth",C3)),"youth",
ISNUMBER(SEARCH("juve",C3)),"youth",
OR(ISNUMBER(SEARCH("health",B3)),ISNUMBER(SEARCH("care ",B3)),ISNUMBER(SEARCH("psych",B3)),ISNUMBER(SEARCH("medical",B3)),ISNUMBER(SEARCH("hospital",B3))),"medical",
ISNUMBER(SEARCH("correct",B3)),"correctional",
ISNUMBER(SEARCH("process",B3)),"processing",
ISNUMBER(SEARCH("detention center",B3)),"detention",
ISNUMBER(SEARCH("detention fac",B3)),"detention",
ISNUMBER(SEARCH("staging",B3)),"staging",
ISNUMBER(SEARCH("prison",B3)),"prison",
ISNUMBER(SEARCH("penet",B3)),"prison",
ISNUMBER(SEARCH("jail",B3)),"jail",
ISNUMBER(SEARCH("detention",B3)),"detention",
ISNUMBER(SEARCH("sheriff",B3)),"sheriff/police",
ISNUMBER(SEARCH("police",B3)),"sheriff/police",
TRUE,""
)</f>
        <v>staging</v>
      </c>
      <c r="H3">
        <f>INDEX(Sheet2!B:B,MATCH(C3,Sheet2!A:A,0),1)</f>
        <v>84941</v>
      </c>
      <c r="I3">
        <f>3-COUNTBLANK(D3:F3)</f>
        <v>2</v>
      </c>
      <c r="J3">
        <f>IF(I3&gt;=2,H3,0)</f>
        <v>84941</v>
      </c>
    </row>
    <row r="4" spans="1:10" x14ac:dyDescent="0.3">
      <c r="A4" t="s">
        <v>1589</v>
      </c>
      <c r="B4" t="s">
        <v>1065</v>
      </c>
      <c r="C4" t="s">
        <v>1066</v>
      </c>
      <c r="D4" t="s">
        <v>72</v>
      </c>
      <c r="E4" t="s">
        <v>2219</v>
      </c>
      <c r="G4" t="str" cm="1">
        <f t="array" ref="G4">_xlfn.IFS(
ISNUMBER(SEARCH("hold",C4)),"hold",
ISNUMBER(SEARCH("youth",C4)),"youth",
ISNUMBER(SEARCH("juve",C4)),"youth",
OR(ISNUMBER(SEARCH("health",B4)),ISNUMBER(SEARCH("care ",B4)),ISNUMBER(SEARCH("psych",B4)),ISNUMBER(SEARCH("medical",B4)),ISNUMBER(SEARCH("hospital",B4))),"medical",
ISNUMBER(SEARCH("correct",B4)),"correctional",
ISNUMBER(SEARCH("process",B4)),"processing",
ISNUMBER(SEARCH("detention center",B4)),"detention",
ISNUMBER(SEARCH("detention fac",B4)),"detention",
ISNUMBER(SEARCH("staging",B4)),"staging",
ISNUMBER(SEARCH("prison",B4)),"prison",
ISNUMBER(SEARCH("penet",B4)),"prison",
ISNUMBER(SEARCH("jail",B4)),"jail",
ISNUMBER(SEARCH("detention",B4)),"detention",
ISNUMBER(SEARCH("sheriff",B4)),"sheriff/police",
ISNUMBER(SEARCH("police",B4)),"sheriff/police",
TRUE,""
)</f>
        <v>processing</v>
      </c>
      <c r="H4">
        <f>INDEX(Sheet2!B:B,MATCH(C4,Sheet2!A:A,0),1)</f>
        <v>66973</v>
      </c>
      <c r="I4">
        <f>3-COUNTBLANK(D4:F4)</f>
        <v>2</v>
      </c>
      <c r="J4">
        <f>IF(I4&gt;=2,H4,0)</f>
        <v>66973</v>
      </c>
    </row>
    <row r="5" spans="1:10" x14ac:dyDescent="0.3">
      <c r="A5" t="s">
        <v>1593</v>
      </c>
      <c r="B5" t="s">
        <v>280</v>
      </c>
      <c r="C5" t="s">
        <v>281</v>
      </c>
      <c r="D5" t="s">
        <v>23</v>
      </c>
      <c r="E5" t="s">
        <v>275</v>
      </c>
      <c r="G5" t="str" cm="1">
        <f t="array" ref="G5">_xlfn.IFS(
ISNUMBER(SEARCH("hold",C5)),"hold",
ISNUMBER(SEARCH("youth",C5)),"youth",
ISNUMBER(SEARCH("juve",C5)),"youth",
OR(ISNUMBER(SEARCH("health",B5)),ISNUMBER(SEARCH("care ",B5)),ISNUMBER(SEARCH("psych",B5)),ISNUMBER(SEARCH("medical",B5)),ISNUMBER(SEARCH("hospital",B5))),"medical",
ISNUMBER(SEARCH("correct",B5)),"correctional",
ISNUMBER(SEARCH("process",B5)),"processing",
ISNUMBER(SEARCH("detention center",B5)),"detention",
ISNUMBER(SEARCH("detention fac",B5)),"detention",
ISNUMBER(SEARCH("staging",B5)),"staging",
ISNUMBER(SEARCH("prison",B5)),"prison",
ISNUMBER(SEARCH("penet",B5)),"prison",
ISNUMBER(SEARCH("jail",B5)),"jail",
ISNUMBER(SEARCH("detention",B5)),"detention",
ISNUMBER(SEARCH("sheriff",B5)),"sheriff/police",
ISNUMBER(SEARCH("police",B5)),"sheriff/police",
TRUE,""
)</f>
        <v>staging</v>
      </c>
      <c r="H5">
        <f>INDEX(Sheet2!B:B,MATCH(C5,Sheet2!A:A,0),1)</f>
        <v>65977</v>
      </c>
      <c r="I5">
        <f>3-COUNTBLANK(D5:F5)</f>
        <v>2</v>
      </c>
      <c r="J5">
        <f>IF(I5&gt;=2,H5,0)</f>
        <v>65977</v>
      </c>
    </row>
    <row r="6" spans="1:10" x14ac:dyDescent="0.3">
      <c r="A6" t="s">
        <v>1596</v>
      </c>
      <c r="B6" t="s">
        <v>1048</v>
      </c>
      <c r="C6" t="s">
        <v>1049</v>
      </c>
      <c r="D6" t="s">
        <v>99</v>
      </c>
      <c r="E6" t="s">
        <v>1050</v>
      </c>
      <c r="G6" t="str" cm="1">
        <f t="array" ref="G6">_xlfn.IFS(
ISNUMBER(SEARCH("hold",C6)),"hold",
ISNUMBER(SEARCH("youth",C6)),"youth",
ISNUMBER(SEARCH("juve",C6)),"youth",
OR(ISNUMBER(SEARCH("health",B6)),ISNUMBER(SEARCH("care ",B6)),ISNUMBER(SEARCH("psych",B6)),ISNUMBER(SEARCH("medical",B6)),ISNUMBER(SEARCH("hospital",B6))),"medical",
ISNUMBER(SEARCH("correct",B6)),"correctional",
ISNUMBER(SEARCH("process",B6)),"processing",
ISNUMBER(SEARCH("detention center",B6)),"detention",
ISNUMBER(SEARCH("detention fac",B6)),"detention",
ISNUMBER(SEARCH("staging",B6)),"staging",
ISNUMBER(SEARCH("prison",B6)),"prison",
ISNUMBER(SEARCH("penet",B6)),"prison",
ISNUMBER(SEARCH("jail",B6)),"jail",
ISNUMBER(SEARCH("detention",B6)),"detention",
ISNUMBER(SEARCH("sheriff",B6)),"sheriff/police",
ISNUMBER(SEARCH("police",B6)),"sheriff/police",
TRUE,""
)</f>
        <v>processing</v>
      </c>
      <c r="H6">
        <f>INDEX(Sheet2!B:B,MATCH(C6,Sheet2!A:A,0),1)</f>
        <v>35285</v>
      </c>
      <c r="I6">
        <f>3-COUNTBLANK(D6:F6)</f>
        <v>2</v>
      </c>
      <c r="J6">
        <f>IF(I6&gt;=2,H6,0)</f>
        <v>35285</v>
      </c>
    </row>
    <row r="7" spans="1:10" x14ac:dyDescent="0.3">
      <c r="A7" t="s">
        <v>1600</v>
      </c>
      <c r="B7" t="s">
        <v>857</v>
      </c>
      <c r="C7" t="s">
        <v>858</v>
      </c>
      <c r="D7" t="s">
        <v>72</v>
      </c>
      <c r="E7" t="s">
        <v>2221</v>
      </c>
      <c r="F7" t="s">
        <v>2344</v>
      </c>
      <c r="G7" t="str" cm="1">
        <f t="array" ref="G7">_xlfn.IFS(
ISNUMBER(SEARCH("hold",C7)),"hold",
ISNUMBER(SEARCH("youth",C7)),"youth",
ISNUMBER(SEARCH("juve",C7)),"youth",
OR(ISNUMBER(SEARCH("health",B7)),ISNUMBER(SEARCH("care ",B7)),ISNUMBER(SEARCH("psych",B7)),ISNUMBER(SEARCH("medical",B7)),ISNUMBER(SEARCH("hospital",B7))),"medical",
ISNUMBER(SEARCH("correct",B7)),"correctional",
ISNUMBER(SEARCH("process",B7)),"processing",
ISNUMBER(SEARCH("detention center",B7)),"detention",
ISNUMBER(SEARCH("detention fac",B7)),"detention",
ISNUMBER(SEARCH("staging",B7)),"staging",
ISNUMBER(SEARCH("prison",B7)),"prison",
ISNUMBER(SEARCH("penet",B7)),"prison",
ISNUMBER(SEARCH("jail",B7)),"jail",
ISNUMBER(SEARCH("detention",B7)),"detention",
ISNUMBER(SEARCH("sheriff",B7)),"sheriff/police",
ISNUMBER(SEARCH("police",B7)),"sheriff/police",
TRUE,""
)</f>
        <v>processing</v>
      </c>
      <c r="H7">
        <f>INDEX(Sheet2!B:B,MATCH(C7,Sheet2!A:A,0),1)</f>
        <v>32270</v>
      </c>
      <c r="I7">
        <f>3-COUNTBLANK(D7:F7)</f>
        <v>3</v>
      </c>
      <c r="J7">
        <f>IF(I7&gt;=2,H7,0)</f>
        <v>32270</v>
      </c>
    </row>
    <row r="8" spans="1:10" x14ac:dyDescent="0.3">
      <c r="A8" t="s">
        <v>1603</v>
      </c>
      <c r="B8" t="s">
        <v>206</v>
      </c>
      <c r="C8" t="s">
        <v>207</v>
      </c>
      <c r="D8" t="s">
        <v>23</v>
      </c>
      <c r="E8" t="s">
        <v>208</v>
      </c>
      <c r="G8" t="str" cm="1">
        <f t="array" ref="G8">_xlfn.IFS(
ISNUMBER(SEARCH("hold",C8)),"hold",
ISNUMBER(SEARCH("youth",C8)),"youth",
ISNUMBER(SEARCH("juve",C8)),"youth",
OR(ISNUMBER(SEARCH("health",B8)),ISNUMBER(SEARCH("care ",B8)),ISNUMBER(SEARCH("psych",B8)),ISNUMBER(SEARCH("medical",B8)),ISNUMBER(SEARCH("hospital",B8))),"medical",
ISNUMBER(SEARCH("correct",B8)),"correctional",
ISNUMBER(SEARCH("process",B8)),"processing",
ISNUMBER(SEARCH("detention center",B8)),"detention",
ISNUMBER(SEARCH("detention fac",B8)),"detention",
ISNUMBER(SEARCH("staging",B8)),"staging",
ISNUMBER(SEARCH("prison",B8)),"prison",
ISNUMBER(SEARCH("penet",B8)),"prison",
ISNUMBER(SEARCH("jail",B8)),"jail",
ISNUMBER(SEARCH("detention",B8)),"detention",
ISNUMBER(SEARCH("sheriff",B8)),"sheriff/police",
ISNUMBER(SEARCH("police",B8)),"sheriff/police",
TRUE,""
)</f>
        <v>correctional</v>
      </c>
      <c r="H8">
        <f>INDEX(Sheet2!B:B,MATCH(C8,Sheet2!A:A,0),1)</f>
        <v>28159</v>
      </c>
      <c r="I8">
        <f>3-COUNTBLANK(D8:F8)</f>
        <v>2</v>
      </c>
      <c r="J8">
        <f>IF(I8&gt;=2,H8,0)</f>
        <v>28159</v>
      </c>
    </row>
    <row r="9" spans="1:10" x14ac:dyDescent="0.3">
      <c r="A9" t="s">
        <v>1606</v>
      </c>
      <c r="B9" t="s">
        <v>980</v>
      </c>
      <c r="C9" t="s">
        <v>981</v>
      </c>
      <c r="D9" t="s">
        <v>31</v>
      </c>
      <c r="E9" t="s">
        <v>2222</v>
      </c>
      <c r="G9" t="str" cm="1">
        <f t="array" ref="G9">_xlfn.IFS(
ISNUMBER(SEARCH("hold",C9)),"hold",
ISNUMBER(SEARCH("youth",C9)),"youth",
ISNUMBER(SEARCH("juve",C9)),"youth",
OR(ISNUMBER(SEARCH("health",B9)),ISNUMBER(SEARCH("care ",B9)),ISNUMBER(SEARCH("psych",B9)),ISNUMBER(SEARCH("medical",B9)),ISNUMBER(SEARCH("hospital",B9))),"medical",
ISNUMBER(SEARCH("correct",B9)),"correctional",
ISNUMBER(SEARCH("process",B9)),"processing",
ISNUMBER(SEARCH("detention center",B9)),"detention",
ISNUMBER(SEARCH("detention fac",B9)),"detention",
ISNUMBER(SEARCH("staging",B9)),"staging",
ISNUMBER(SEARCH("prison",B9)),"prison",
ISNUMBER(SEARCH("penet",B9)),"prison",
ISNUMBER(SEARCH("jail",B9)),"jail",
ISNUMBER(SEARCH("detention",B9)),"detention",
ISNUMBER(SEARCH("sheriff",B9)),"sheriff/police",
ISNUMBER(SEARCH("police",B9)),"sheriff/police",
TRUE,""
)</f>
        <v>detention</v>
      </c>
      <c r="H9">
        <f>INDEX(Sheet2!B:B,MATCH(C9,Sheet2!A:A,0),1)</f>
        <v>27619</v>
      </c>
      <c r="I9">
        <f>3-COUNTBLANK(D9:F9)</f>
        <v>2</v>
      </c>
      <c r="J9">
        <f>IF(I9&gt;=2,H9,0)</f>
        <v>27619</v>
      </c>
    </row>
    <row r="10" spans="1:10" x14ac:dyDescent="0.3">
      <c r="A10" t="s">
        <v>1609</v>
      </c>
      <c r="B10" t="s">
        <v>1304</v>
      </c>
      <c r="C10" t="s">
        <v>1305</v>
      </c>
      <c r="D10" t="s">
        <v>72</v>
      </c>
      <c r="E10" t="s">
        <v>2223</v>
      </c>
      <c r="G10" t="str" cm="1">
        <f t="array" ref="G10">_xlfn.IFS(
ISNUMBER(SEARCH("hold",C10)),"hold",
ISNUMBER(SEARCH("youth",C10)),"youth",
ISNUMBER(SEARCH("juve",C10)),"youth",
OR(ISNUMBER(SEARCH("health",B10)),ISNUMBER(SEARCH("care ",B10)),ISNUMBER(SEARCH("psych",B10)),ISNUMBER(SEARCH("medical",B10)),ISNUMBER(SEARCH("hospital",B10))),"medical",
ISNUMBER(SEARCH("correct",B10)),"correctional",
ISNUMBER(SEARCH("process",B10)),"processing",
ISNUMBER(SEARCH("detention center",B10)),"detention",
ISNUMBER(SEARCH("detention fac",B10)),"detention",
ISNUMBER(SEARCH("staging",B10)),"staging",
ISNUMBER(SEARCH("prison",B10)),"prison",
ISNUMBER(SEARCH("penet",B10)),"prison",
ISNUMBER(SEARCH("jail",B10)),"jail",
ISNUMBER(SEARCH("detention",B10)),"detention",
ISNUMBER(SEARCH("sheriff",B10)),"sheriff/police",
ISNUMBER(SEARCH("police",B10)),"sheriff/police",
TRUE,""
)</f>
        <v>processing</v>
      </c>
      <c r="H10">
        <f>INDEX(Sheet2!B:B,MATCH(C10,Sheet2!A:A,0),1)</f>
        <v>27318</v>
      </c>
      <c r="I10">
        <f>3-COUNTBLANK(D10:F10)</f>
        <v>2</v>
      </c>
      <c r="J10">
        <f>IF(I10&gt;=2,H10,0)</f>
        <v>27318</v>
      </c>
    </row>
    <row r="11" spans="1:10" x14ac:dyDescent="0.3">
      <c r="A11" t="s">
        <v>1612</v>
      </c>
      <c r="B11" t="s">
        <v>1337</v>
      </c>
      <c r="C11" t="s">
        <v>1338</v>
      </c>
      <c r="D11" t="s">
        <v>59</v>
      </c>
      <c r="E11" t="s">
        <v>2230</v>
      </c>
      <c r="G11" t="str" cm="1">
        <f t="array" ref="G11">_xlfn.IFS(
ISNUMBER(SEARCH("hold",C11)),"hold",
ISNUMBER(SEARCH("youth",C11)),"youth",
ISNUMBER(SEARCH("juve",C11)),"youth",
OR(ISNUMBER(SEARCH("health",B11)),ISNUMBER(SEARCH("care ",B11)),ISNUMBER(SEARCH("psych",B11)),ISNUMBER(SEARCH("medical",B11)),ISNUMBER(SEARCH("hospital",B11))),"medical",
ISNUMBER(SEARCH("correct",B11)),"correctional",
ISNUMBER(SEARCH("process",B11)),"processing",
ISNUMBER(SEARCH("detention center",B11)),"detention",
ISNUMBER(SEARCH("detention fac",B11)),"detention",
ISNUMBER(SEARCH("staging",B11)),"staging",
ISNUMBER(SEARCH("prison",B11)),"prison",
ISNUMBER(SEARCH("penet",B11)),"prison",
ISNUMBER(SEARCH("jail",B11)),"jail",
ISNUMBER(SEARCH("detention",B11)),"detention",
ISNUMBER(SEARCH("sheriff",B11)),"sheriff/police",
ISNUMBER(SEARCH("police",B11)),"sheriff/police",
TRUE,""
)</f>
        <v>detention</v>
      </c>
      <c r="H11">
        <f>INDEX(Sheet2!B:B,MATCH(C11,Sheet2!A:A,0),1)</f>
        <v>26209</v>
      </c>
      <c r="I11">
        <f>3-COUNTBLANK(D11:F11)</f>
        <v>2</v>
      </c>
      <c r="J11">
        <f>IF(I11&gt;=2,H11,0)</f>
        <v>26209</v>
      </c>
    </row>
    <row r="12" spans="1:10" x14ac:dyDescent="0.3">
      <c r="A12" t="s">
        <v>1615</v>
      </c>
      <c r="B12" t="s">
        <v>1553</v>
      </c>
      <c r="C12" t="s">
        <v>1554</v>
      </c>
      <c r="D12" t="s">
        <v>99</v>
      </c>
      <c r="E12" t="s">
        <v>2231</v>
      </c>
      <c r="G12" t="str" cm="1">
        <f t="array" ref="G12">_xlfn.IFS(
ISNUMBER(SEARCH("hold",C12)),"hold",
ISNUMBER(SEARCH("youth",C12)),"youth",
ISNUMBER(SEARCH("juve",C12)),"youth",
OR(ISNUMBER(SEARCH("health",B12)),ISNUMBER(SEARCH("care ",B12)),ISNUMBER(SEARCH("psych",B12)),ISNUMBER(SEARCH("medical",B12)),ISNUMBER(SEARCH("hospital",B12))),"medical",
ISNUMBER(SEARCH("correct",B12)),"correctional",
ISNUMBER(SEARCH("process",B12)),"processing",
ISNUMBER(SEARCH("detention center",B12)),"detention",
ISNUMBER(SEARCH("detention fac",B12)),"detention",
ISNUMBER(SEARCH("staging",B12)),"staging",
ISNUMBER(SEARCH("prison",B12)),"prison",
ISNUMBER(SEARCH("penet",B12)),"prison",
ISNUMBER(SEARCH("jail",B12)),"jail",
ISNUMBER(SEARCH("detention",B12)),"detention",
ISNUMBER(SEARCH("sheriff",B12)),"sheriff/police",
ISNUMBER(SEARCH("police",B12)),"sheriff/police",
TRUE,""
)</f>
        <v>correctional</v>
      </c>
      <c r="H12">
        <f>INDEX(Sheet2!B:B,MATCH(C12,Sheet2!A:A,0),1)</f>
        <v>25935</v>
      </c>
      <c r="I12">
        <f>3-COUNTBLANK(D12:F12)</f>
        <v>2</v>
      </c>
      <c r="J12">
        <f>IF(I12&gt;=2,H12,0)</f>
        <v>25935</v>
      </c>
    </row>
    <row r="13" spans="1:10" x14ac:dyDescent="0.3">
      <c r="A13" t="s">
        <v>1619</v>
      </c>
      <c r="B13" t="s">
        <v>277</v>
      </c>
      <c r="C13" t="s">
        <v>278</v>
      </c>
      <c r="D13" t="s">
        <v>23</v>
      </c>
      <c r="E13" t="s">
        <v>275</v>
      </c>
      <c r="G13" t="str" cm="1">
        <f t="array" ref="G13">_xlfn.IFS(
ISNUMBER(SEARCH("hold",C13)),"hold",
ISNUMBER(SEARCH("youth",C13)),"youth",
ISNUMBER(SEARCH("juve",C13)),"youth",
OR(ISNUMBER(SEARCH("health",B13)),ISNUMBER(SEARCH("care ",B13)),ISNUMBER(SEARCH("psych",B13)),ISNUMBER(SEARCH("medical",B13)),ISNUMBER(SEARCH("hospital",B13))),"medical",
ISNUMBER(SEARCH("correct",B13)),"correctional",
ISNUMBER(SEARCH("process",B13)),"processing",
ISNUMBER(SEARCH("detention center",B13)),"detention",
ISNUMBER(SEARCH("detention fac",B13)),"detention",
ISNUMBER(SEARCH("staging",B13)),"staging",
ISNUMBER(SEARCH("prison",B13)),"prison",
ISNUMBER(SEARCH("penet",B13)),"prison",
ISNUMBER(SEARCH("jail",B13)),"jail",
ISNUMBER(SEARCH("detention",B13)),"detention",
ISNUMBER(SEARCH("sheriff",B13)),"sheriff/police",
ISNUMBER(SEARCH("police",B13)),"sheriff/police",
TRUE,""
)</f>
        <v>processing</v>
      </c>
      <c r="H13">
        <f>INDEX(Sheet2!B:B,MATCH(C13,Sheet2!A:A,0),1)</f>
        <v>25888</v>
      </c>
      <c r="I13">
        <f>3-COUNTBLANK(D13:F13)</f>
        <v>2</v>
      </c>
      <c r="J13">
        <f>IF(I13&gt;=2,H13,0)</f>
        <v>25888</v>
      </c>
    </row>
    <row r="14" spans="1:10" x14ac:dyDescent="0.3">
      <c r="A14" t="s">
        <v>1623</v>
      </c>
      <c r="B14" t="s">
        <v>1587</v>
      </c>
      <c r="C14" t="s">
        <v>1588</v>
      </c>
      <c r="D14" t="s">
        <v>125</v>
      </c>
      <c r="E14" t="s">
        <v>2232</v>
      </c>
      <c r="F14" t="s">
        <v>2378</v>
      </c>
      <c r="G14" t="str" cm="1">
        <f t="array" ref="G14">_xlfn.IFS(
ISNUMBER(SEARCH("hold",C14)),"hold",
ISNUMBER(SEARCH("youth",C14)),"youth",
ISNUMBER(SEARCH("juve",C14)),"youth",
OR(ISNUMBER(SEARCH("health",B14)),ISNUMBER(SEARCH("care ",B14)),ISNUMBER(SEARCH("psych",B14)),ISNUMBER(SEARCH("medical",B14)),ISNUMBER(SEARCH("hospital",B14))),"medical",
ISNUMBER(SEARCH("correct",B14)),"correctional",
ISNUMBER(SEARCH("process",B14)),"processing",
ISNUMBER(SEARCH("detention center",B14)),"detention",
ISNUMBER(SEARCH("detention fac",B14)),"detention",
ISNUMBER(SEARCH("staging",B14)),"staging",
ISNUMBER(SEARCH("prison",B14)),"prison",
ISNUMBER(SEARCH("penet",B14)),"prison",
ISNUMBER(SEARCH("jail",B14)),"jail",
ISNUMBER(SEARCH("detention",B14)),"detention",
ISNUMBER(SEARCH("sheriff",B14)),"sheriff/police",
ISNUMBER(SEARCH("police",B14)),"sheriff/police",
TRUE,""
)</f>
        <v>correctional</v>
      </c>
      <c r="H14">
        <f>INDEX(Sheet2!B:B,MATCH(C14,Sheet2!A:A,0),1)</f>
        <v>25721</v>
      </c>
      <c r="I14">
        <f>3-COUNTBLANK(D14:F14)</f>
        <v>3</v>
      </c>
      <c r="J14">
        <f>IF(I14&gt;=2,H14,0)</f>
        <v>25721</v>
      </c>
    </row>
    <row r="15" spans="1:10" x14ac:dyDescent="0.3">
      <c r="A15" t="s">
        <v>1626</v>
      </c>
      <c r="B15" t="s">
        <v>1083</v>
      </c>
      <c r="C15" t="s">
        <v>1084</v>
      </c>
      <c r="D15" t="s">
        <v>72</v>
      </c>
      <c r="E15" t="s">
        <v>2233</v>
      </c>
      <c r="G15" t="str" cm="1">
        <f t="array" ref="G15">_xlfn.IFS(
ISNUMBER(SEARCH("hold",C15)),"hold",
ISNUMBER(SEARCH("youth",C15)),"youth",
ISNUMBER(SEARCH("juve",C15)),"youth",
OR(ISNUMBER(SEARCH("health",B15)),ISNUMBER(SEARCH("care ",B15)),ISNUMBER(SEARCH("psych",B15)),ISNUMBER(SEARCH("medical",B15)),ISNUMBER(SEARCH("hospital",B15))),"medical",
ISNUMBER(SEARCH("correct",B15)),"correctional",
ISNUMBER(SEARCH("process",B15)),"processing",
ISNUMBER(SEARCH("detention center",B15)),"detention",
ISNUMBER(SEARCH("detention fac",B15)),"detention",
ISNUMBER(SEARCH("staging",B15)),"staging",
ISNUMBER(SEARCH("prison",B15)),"prison",
ISNUMBER(SEARCH("penet",B15)),"prison",
ISNUMBER(SEARCH("jail",B15)),"jail",
ISNUMBER(SEARCH("detention",B15)),"detention",
ISNUMBER(SEARCH("sheriff",B15)),"sheriff/police",
ISNUMBER(SEARCH("police",B15)),"sheriff/police",
TRUE,""
)</f>
        <v>detention</v>
      </c>
      <c r="H15">
        <f>INDEX(Sheet2!B:B,MATCH(C15,Sheet2!A:A,0),1)</f>
        <v>25666</v>
      </c>
      <c r="I15">
        <f>3-COUNTBLANK(D15:F15)</f>
        <v>2</v>
      </c>
      <c r="J15">
        <f>IF(I15&gt;=2,H15,0)</f>
        <v>25666</v>
      </c>
    </row>
    <row r="16" spans="1:10" x14ac:dyDescent="0.3">
      <c r="A16" t="s">
        <v>1629</v>
      </c>
      <c r="B16" t="s">
        <v>586</v>
      </c>
      <c r="C16" t="s">
        <v>587</v>
      </c>
      <c r="D16" t="s">
        <v>6</v>
      </c>
      <c r="E16" t="s">
        <v>442</v>
      </c>
      <c r="G16" t="str" cm="1">
        <f t="array" ref="G16">_xlfn.IFS(
ISNUMBER(SEARCH("hold",C16)),"hold",
ISNUMBER(SEARCH("youth",C16)),"youth",
ISNUMBER(SEARCH("juve",C16)),"youth",
OR(ISNUMBER(SEARCH("health",B16)),ISNUMBER(SEARCH("care ",B16)),ISNUMBER(SEARCH("psych",B16)),ISNUMBER(SEARCH("medical",B16)),ISNUMBER(SEARCH("hospital",B16))),"medical",
ISNUMBER(SEARCH("correct",B16)),"correctional",
ISNUMBER(SEARCH("process",B16)),"processing",
ISNUMBER(SEARCH("detention center",B16)),"detention",
ISNUMBER(SEARCH("detention fac",B16)),"detention",
ISNUMBER(SEARCH("staging",B16)),"staging",
ISNUMBER(SEARCH("prison",B16)),"prison",
ISNUMBER(SEARCH("penet",B16)),"prison",
ISNUMBER(SEARCH("jail",B16)),"jail",
ISNUMBER(SEARCH("detention",B16)),"detention",
ISNUMBER(SEARCH("sheriff",B16)),"sheriff/police",
ISNUMBER(SEARCH("police",B16)),"sheriff/police",
TRUE,""
)</f>
        <v>processing</v>
      </c>
      <c r="H16">
        <f>INDEX(Sheet2!B:B,MATCH(C16,Sheet2!A:A,0),1)</f>
        <v>25522</v>
      </c>
      <c r="I16">
        <f>3-COUNTBLANK(D16:F16)</f>
        <v>2</v>
      </c>
      <c r="J16">
        <f>IF(I16&gt;=2,H16,0)</f>
        <v>25522</v>
      </c>
    </row>
    <row r="17" spans="1:10" x14ac:dyDescent="0.3">
      <c r="A17" t="s">
        <v>1632</v>
      </c>
      <c r="B17" t="s">
        <v>191</v>
      </c>
      <c r="C17" t="s">
        <v>192</v>
      </c>
      <c r="D17" t="s">
        <v>72</v>
      </c>
      <c r="E17" t="s">
        <v>2234</v>
      </c>
      <c r="G17" t="str" cm="1">
        <f t="array" ref="G17">_xlfn.IFS(
ISNUMBER(SEARCH("hold",C17)),"hold",
ISNUMBER(SEARCH("youth",C17)),"youth",
ISNUMBER(SEARCH("juve",C17)),"youth",
OR(ISNUMBER(SEARCH("health",B17)),ISNUMBER(SEARCH("care ",B17)),ISNUMBER(SEARCH("psych",B17)),ISNUMBER(SEARCH("medical",B17)),ISNUMBER(SEARCH("hospital",B17))),"medical",
ISNUMBER(SEARCH("correct",B17)),"correctional",
ISNUMBER(SEARCH("process",B17)),"processing",
ISNUMBER(SEARCH("detention center",B17)),"detention",
ISNUMBER(SEARCH("detention fac",B17)),"detention",
ISNUMBER(SEARCH("staging",B17)),"staging",
ISNUMBER(SEARCH("prison",B17)),"prison",
ISNUMBER(SEARCH("penet",B17)),"prison",
ISNUMBER(SEARCH("jail",B17)),"jail",
ISNUMBER(SEARCH("detention",B17)),"detention",
ISNUMBER(SEARCH("sheriff",B17)),"sheriff/police",
ISNUMBER(SEARCH("police",B17)),"sheriff/police",
TRUE,""
)</f>
        <v>processing</v>
      </c>
      <c r="H17">
        <f>INDEX(Sheet2!B:B,MATCH(C17,Sheet2!A:A,0),1)</f>
        <v>22591</v>
      </c>
      <c r="I17">
        <f>3-COUNTBLANK(D17:F17)</f>
        <v>2</v>
      </c>
      <c r="J17">
        <f>IF(I17&gt;=2,H17,0)</f>
        <v>22591</v>
      </c>
    </row>
    <row r="18" spans="1:10" x14ac:dyDescent="0.3">
      <c r="A18" t="s">
        <v>1635</v>
      </c>
      <c r="B18" t="s">
        <v>1985</v>
      </c>
      <c r="C18" t="s">
        <v>1952</v>
      </c>
      <c r="D18" t="s">
        <v>72</v>
      </c>
      <c r="F18" t="s">
        <v>2367</v>
      </c>
      <c r="G18" t="str" cm="1">
        <f t="array" ref="G18">_xlfn.IFS(
ISNUMBER(SEARCH("hold",C18)),"hold",
ISNUMBER(SEARCH("youth",C18)),"youth",
ISNUMBER(SEARCH("juve",C18)),"youth",
OR(ISNUMBER(SEARCH("health",B18)),ISNUMBER(SEARCH("care ",B18)),ISNUMBER(SEARCH("psych",B18)),ISNUMBER(SEARCH("medical",B18)),ISNUMBER(SEARCH("hospital",B18))),"medical",
ISNUMBER(SEARCH("correct",B18)),"correctional",
ISNUMBER(SEARCH("process",B18)),"processing",
ISNUMBER(SEARCH("detention center",B18)),"detention",
ISNUMBER(SEARCH("detention fac",B18)),"detention",
ISNUMBER(SEARCH("staging",B18)),"staging",
ISNUMBER(SEARCH("prison",B18)),"prison",
ISNUMBER(SEARCH("penet",B18)),"prison",
ISNUMBER(SEARCH("jail",B18)),"jail",
ISNUMBER(SEARCH("detention",B18)),"detention",
ISNUMBER(SEARCH("sheriff",B18)),"sheriff/police",
ISNUMBER(SEARCH("police",B18)),"sheriff/police",
TRUE,""
)</f>
        <v>processing</v>
      </c>
      <c r="H18">
        <f>INDEX(Sheet2!B:B,MATCH(C18,Sheet2!A:A,0),1)</f>
        <v>21935</v>
      </c>
      <c r="I18">
        <f>3-COUNTBLANK(D18:F18)</f>
        <v>2</v>
      </c>
      <c r="J18">
        <f>IF(I18&gt;=2,H18,0)</f>
        <v>21935</v>
      </c>
    </row>
    <row r="19" spans="1:10" x14ac:dyDescent="0.3">
      <c r="A19" t="s">
        <v>1638</v>
      </c>
      <c r="B19" t="s">
        <v>76</v>
      </c>
      <c r="C19" t="s">
        <v>77</v>
      </c>
      <c r="D19" t="s">
        <v>72</v>
      </c>
      <c r="E19" t="s">
        <v>74</v>
      </c>
      <c r="G19" t="str" cm="1">
        <f t="array" ref="G19">_xlfn.IFS(
ISNUMBER(SEARCH("hold",C19)),"hold",
ISNUMBER(SEARCH("youth",C19)),"youth",
ISNUMBER(SEARCH("juve",C19)),"youth",
OR(ISNUMBER(SEARCH("health",B19)),ISNUMBER(SEARCH("care ",B19)),ISNUMBER(SEARCH("psych",B19)),ISNUMBER(SEARCH("medical",B19)),ISNUMBER(SEARCH("hospital",B19))),"medical",
ISNUMBER(SEARCH("correct",B19)),"correctional",
ISNUMBER(SEARCH("process",B19)),"processing",
ISNUMBER(SEARCH("detention center",B19)),"detention",
ISNUMBER(SEARCH("detention fac",B19)),"detention",
ISNUMBER(SEARCH("staging",B19)),"staging",
ISNUMBER(SEARCH("prison",B19)),"prison",
ISNUMBER(SEARCH("penet",B19)),"prison",
ISNUMBER(SEARCH("jail",B19)),"jail",
ISNUMBER(SEARCH("detention",B19)),"detention",
ISNUMBER(SEARCH("sheriff",B19)),"sheriff/police",
ISNUMBER(SEARCH("police",B19)),"sheriff/police",
TRUE,""
)</f>
        <v>hold</v>
      </c>
      <c r="H19">
        <f>INDEX(Sheet2!B:B,MATCH(C19,Sheet2!A:A,0),1)</f>
        <v>21680</v>
      </c>
      <c r="I19">
        <f>3-COUNTBLANK(D19:F19)</f>
        <v>2</v>
      </c>
      <c r="J19">
        <f>IF(I19&gt;=2,H19,0)</f>
        <v>21680</v>
      </c>
    </row>
    <row r="20" spans="1:10" x14ac:dyDescent="0.3">
      <c r="A20" t="s">
        <v>1642</v>
      </c>
      <c r="B20" t="s">
        <v>2000</v>
      </c>
      <c r="C20" t="s">
        <v>1961</v>
      </c>
      <c r="D20" t="s">
        <v>152</v>
      </c>
      <c r="F20" t="s">
        <v>2342</v>
      </c>
      <c r="G20" t="str" cm="1">
        <f t="array" ref="G20">_xlfn.IFS(
ISNUMBER(SEARCH("hold",C20)),"hold",
ISNUMBER(SEARCH("youth",C20)),"youth",
ISNUMBER(SEARCH("juve",C20)),"youth",
OR(ISNUMBER(SEARCH("health",B20)),ISNUMBER(SEARCH("care ",B20)),ISNUMBER(SEARCH("psych",B20)),ISNUMBER(SEARCH("medical",B20)),ISNUMBER(SEARCH("hospital",B20))),"medical",
ISNUMBER(SEARCH("correct",B20)),"correctional",
ISNUMBER(SEARCH("process",B20)),"processing",
ISNUMBER(SEARCH("detention center",B20)),"detention",
ISNUMBER(SEARCH("detention fac",B20)),"detention",
ISNUMBER(SEARCH("staging",B20)),"staging",
ISNUMBER(SEARCH("prison",B20)),"prison",
ISNUMBER(SEARCH("penet",B20)),"prison",
ISNUMBER(SEARCH("jail",B20)),"jail",
ISNUMBER(SEARCH("detention",B20)),"detention",
ISNUMBER(SEARCH("sheriff",B20)),"sheriff/police",
ISNUMBER(SEARCH("police",B20)),"sheriff/police",
TRUE,""
)</f>
        <v>processing</v>
      </c>
      <c r="H20">
        <f>INDEX(Sheet2!B:B,MATCH(C20,Sheet2!A:A,0),1)</f>
        <v>21573</v>
      </c>
      <c r="I20">
        <f>3-COUNTBLANK(D20:F20)</f>
        <v>2</v>
      </c>
      <c r="J20">
        <f>IF(I20&gt;=2,H20,0)</f>
        <v>21573</v>
      </c>
    </row>
    <row r="21" spans="1:10" x14ac:dyDescent="0.3">
      <c r="A21" t="s">
        <v>1646</v>
      </c>
      <c r="B21" t="s">
        <v>1836</v>
      </c>
      <c r="C21" t="s">
        <v>1837</v>
      </c>
      <c r="D21" t="s">
        <v>99</v>
      </c>
      <c r="E21" t="s">
        <v>1050</v>
      </c>
      <c r="G21" t="str" cm="1">
        <f t="array" ref="G21">_xlfn.IFS(
ISNUMBER(SEARCH("hold",C21)),"hold",
ISNUMBER(SEARCH("youth",C21)),"youth",
ISNUMBER(SEARCH("juve",C21)),"youth",
OR(ISNUMBER(SEARCH("health",B21)),ISNUMBER(SEARCH("care ",B21)),ISNUMBER(SEARCH("psych",B21)),ISNUMBER(SEARCH("medical",B21)),ISNUMBER(SEARCH("hospital",B21))),"medical",
ISNUMBER(SEARCH("correct",B21)),"correctional",
ISNUMBER(SEARCH("process",B21)),"processing",
ISNUMBER(SEARCH("detention center",B21)),"detention",
ISNUMBER(SEARCH("detention fac",B21)),"detention",
ISNUMBER(SEARCH("staging",B21)),"staging",
ISNUMBER(SEARCH("prison",B21)),"prison",
ISNUMBER(SEARCH("penet",B21)),"prison",
ISNUMBER(SEARCH("jail",B21)),"jail",
ISNUMBER(SEARCH("detention",B21)),"detention",
ISNUMBER(SEARCH("sheriff",B21)),"sheriff/police",
ISNUMBER(SEARCH("police",B21)),"sheriff/police",
TRUE,""
)</f>
        <v>processing</v>
      </c>
      <c r="H21">
        <f>INDEX(Sheet2!B:B,MATCH(C21,Sheet2!A:A,0),1)</f>
        <v>21503</v>
      </c>
      <c r="I21">
        <f>3-COUNTBLANK(D21:F21)</f>
        <v>2</v>
      </c>
      <c r="J21">
        <f>IF(I21&gt;=2,H21,0)</f>
        <v>21503</v>
      </c>
    </row>
    <row r="22" spans="1:10" x14ac:dyDescent="0.3">
      <c r="A22" t="s">
        <v>1649</v>
      </c>
      <c r="B22" t="s">
        <v>529</v>
      </c>
      <c r="C22" t="s">
        <v>530</v>
      </c>
      <c r="D22" t="s">
        <v>99</v>
      </c>
      <c r="F22" t="s">
        <v>531</v>
      </c>
      <c r="G22" t="str" cm="1">
        <f t="array" ref="G22">_xlfn.IFS(
ISNUMBER(SEARCH("hold",C22)),"hold",
ISNUMBER(SEARCH("youth",C22)),"youth",
ISNUMBER(SEARCH("juve",C22)),"youth",
OR(ISNUMBER(SEARCH("health",B22)),ISNUMBER(SEARCH("care ",B22)),ISNUMBER(SEARCH("psych",B22)),ISNUMBER(SEARCH("medical",B22)),ISNUMBER(SEARCH("hospital",B22))),"medical",
ISNUMBER(SEARCH("correct",B22)),"correctional",
ISNUMBER(SEARCH("process",B22)),"processing",
ISNUMBER(SEARCH("detention center",B22)),"detention",
ISNUMBER(SEARCH("detention fac",B22)),"detention",
ISNUMBER(SEARCH("staging",B22)),"staging",
ISNUMBER(SEARCH("prison",B22)),"prison",
ISNUMBER(SEARCH("penet",B22)),"prison",
ISNUMBER(SEARCH("jail",B22)),"jail",
ISNUMBER(SEARCH("detention",B22)),"detention",
ISNUMBER(SEARCH("sheriff",B22)),"sheriff/police",
ISNUMBER(SEARCH("police",B22)),"sheriff/police",
TRUE,""
)</f>
        <v>correctional</v>
      </c>
      <c r="H22">
        <f>INDEX(Sheet2!B:B,MATCH(C22,Sheet2!A:A,0),1)</f>
        <v>21503</v>
      </c>
      <c r="I22">
        <f>3-COUNTBLANK(D22:F22)</f>
        <v>2</v>
      </c>
      <c r="J22">
        <f>IF(I22&gt;=2,H22,0)</f>
        <v>21503</v>
      </c>
    </row>
    <row r="23" spans="1:10" x14ac:dyDescent="0.3">
      <c r="A23" t="s">
        <v>1652</v>
      </c>
      <c r="B23" t="s">
        <v>854</v>
      </c>
      <c r="C23" t="s">
        <v>855</v>
      </c>
      <c r="D23" t="s">
        <v>72</v>
      </c>
      <c r="E23" t="s">
        <v>2221</v>
      </c>
      <c r="F23" t="s">
        <v>2344</v>
      </c>
      <c r="G23" t="str" cm="1">
        <f t="array" ref="G23">_xlfn.IFS(
ISNUMBER(SEARCH("hold",C23)),"hold",
ISNUMBER(SEARCH("youth",C23)),"youth",
ISNUMBER(SEARCH("juve",C23)),"youth",
OR(ISNUMBER(SEARCH("health",B23)),ISNUMBER(SEARCH("care ",B23)),ISNUMBER(SEARCH("psych",B23)),ISNUMBER(SEARCH("medical",B23)),ISNUMBER(SEARCH("hospital",B23))),"medical",
ISNUMBER(SEARCH("correct",B23)),"correctional",
ISNUMBER(SEARCH("process",B23)),"processing",
ISNUMBER(SEARCH("detention center",B23)),"detention",
ISNUMBER(SEARCH("detention fac",B23)),"detention",
ISNUMBER(SEARCH("staging",B23)),"staging",
ISNUMBER(SEARCH("prison",B23)),"prison",
ISNUMBER(SEARCH("penet",B23)),"prison",
ISNUMBER(SEARCH("jail",B23)),"jail",
ISNUMBER(SEARCH("detention",B23)),"detention",
ISNUMBER(SEARCH("sheriff",B23)),"sheriff/police",
ISNUMBER(SEARCH("police",B23)),"sheriff/police",
TRUE,""
)</f>
        <v>hold</v>
      </c>
      <c r="H23">
        <f>INDEX(Sheet2!B:B,MATCH(C23,Sheet2!A:A,0),1)</f>
        <v>21420</v>
      </c>
      <c r="I23">
        <f>3-COUNTBLANK(D23:F23)</f>
        <v>3</v>
      </c>
      <c r="J23">
        <f>IF(I23&gt;=2,H23,0)</f>
        <v>21420</v>
      </c>
    </row>
    <row r="24" spans="1:10" x14ac:dyDescent="0.3">
      <c r="A24" t="s">
        <v>1655</v>
      </c>
      <c r="B24" t="s">
        <v>196</v>
      </c>
      <c r="C24" t="s">
        <v>197</v>
      </c>
      <c r="D24" t="s">
        <v>72</v>
      </c>
      <c r="E24" t="s">
        <v>2430</v>
      </c>
      <c r="G24" t="str" cm="1">
        <f t="array" ref="G24">_xlfn.IFS(
ISNUMBER(SEARCH("hold",C24)),"hold",
ISNUMBER(SEARCH("youth",C24)),"youth",
ISNUMBER(SEARCH("juve",C24)),"youth",
OR(ISNUMBER(SEARCH("health",B24)),ISNUMBER(SEARCH("care ",B24)),ISNUMBER(SEARCH("psych",B24)),ISNUMBER(SEARCH("medical",B24)),ISNUMBER(SEARCH("hospital",B24))),"medical",
ISNUMBER(SEARCH("correct",B24)),"correctional",
ISNUMBER(SEARCH("process",B24)),"processing",
ISNUMBER(SEARCH("detention center",B24)),"detention",
ISNUMBER(SEARCH("detention fac",B24)),"detention",
ISNUMBER(SEARCH("staging",B24)),"staging",
ISNUMBER(SEARCH("prison",B24)),"prison",
ISNUMBER(SEARCH("penet",B24)),"prison",
ISNUMBER(SEARCH("jail",B24)),"jail",
ISNUMBER(SEARCH("detention",B24)),"detention",
ISNUMBER(SEARCH("sheriff",B24)),"sheriff/police",
ISNUMBER(SEARCH("police",B24)),"sheriff/police",
TRUE,""
)</f>
        <v>detention</v>
      </c>
      <c r="H24">
        <f>INDEX(Sheet2!B:B,MATCH(C24,Sheet2!A:A,0),1)</f>
        <v>20063</v>
      </c>
      <c r="I24">
        <f>3-COUNTBLANK(D24:F24)</f>
        <v>2</v>
      </c>
      <c r="J24">
        <f>IF(I24&gt;=2,H24,0)</f>
        <v>20063</v>
      </c>
    </row>
    <row r="25" spans="1:10" x14ac:dyDescent="0.3">
      <c r="A25" t="s">
        <v>1657</v>
      </c>
      <c r="B25" t="s">
        <v>1723</v>
      </c>
      <c r="C25" t="s">
        <v>1724</v>
      </c>
      <c r="D25" t="s">
        <v>72</v>
      </c>
      <c r="E25" t="s">
        <v>2431</v>
      </c>
      <c r="G25" t="str" cm="1">
        <f t="array" ref="G25">_xlfn.IFS(
ISNUMBER(SEARCH("hold",C25)),"hold",
ISNUMBER(SEARCH("youth",C25)),"youth",
ISNUMBER(SEARCH("juve",C25)),"youth",
OR(ISNUMBER(SEARCH("health",B25)),ISNUMBER(SEARCH("care ",B25)),ISNUMBER(SEARCH("psych",B25)),ISNUMBER(SEARCH("medical",B25)),ISNUMBER(SEARCH("hospital",B25))),"medical",
ISNUMBER(SEARCH("correct",B25)),"correctional",
ISNUMBER(SEARCH("process",B25)),"processing",
ISNUMBER(SEARCH("detention center",B25)),"detention",
ISNUMBER(SEARCH("detention fac",B25)),"detention",
ISNUMBER(SEARCH("staging",B25)),"staging",
ISNUMBER(SEARCH("prison",B25)),"prison",
ISNUMBER(SEARCH("penet",B25)),"prison",
ISNUMBER(SEARCH("jail",B25)),"jail",
ISNUMBER(SEARCH("detention",B25)),"detention",
ISNUMBER(SEARCH("sheriff",B25)),"sheriff/police",
ISNUMBER(SEARCH("police",B25)),"sheriff/police",
TRUE,""
)</f>
        <v>detention</v>
      </c>
      <c r="H25">
        <f>INDEX(Sheet2!B:B,MATCH(C25,Sheet2!A:A,0),1)</f>
        <v>18893</v>
      </c>
      <c r="I25">
        <f>3-COUNTBLANK(D25:F25)</f>
        <v>2</v>
      </c>
      <c r="J25">
        <f>IF(I25&gt;=2,H25,0)</f>
        <v>18893</v>
      </c>
    </row>
    <row r="26" spans="1:10" x14ac:dyDescent="0.3">
      <c r="A26" t="s">
        <v>1348</v>
      </c>
      <c r="B26" t="s">
        <v>29</v>
      </c>
      <c r="C26" t="s">
        <v>30</v>
      </c>
      <c r="D26" t="s">
        <v>15</v>
      </c>
      <c r="G26" t="str" cm="1">
        <f t="array" ref="G26">_xlfn.IFS(
ISNUMBER(SEARCH("hold",C26)),"hold",
ISNUMBER(SEARCH("youth",C26)),"youth",
ISNUMBER(SEARCH("juve",C26)),"youth",
OR(ISNUMBER(SEARCH("health",B26)),ISNUMBER(SEARCH("care ",B26)),ISNUMBER(SEARCH("psych",B26)),ISNUMBER(SEARCH("medical",B26)),ISNUMBER(SEARCH("hospital",B26))),"medical",
ISNUMBER(SEARCH("correct",B26)),"correctional",
ISNUMBER(SEARCH("process",B26)),"processing",
ISNUMBER(SEARCH("detention center",B26)),"detention",
ISNUMBER(SEARCH("detention fac",B26)),"detention",
ISNUMBER(SEARCH("staging",B26)),"staging",
ISNUMBER(SEARCH("prison",B26)),"prison",
ISNUMBER(SEARCH("penet",B26)),"prison",
ISNUMBER(SEARCH("jail",B26)),"jail",
ISNUMBER(SEARCH("detention",B26)),"detention",
ISNUMBER(SEARCH("sheriff",B26)),"sheriff/police",
ISNUMBER(SEARCH("police",B26)),"sheriff/police",
TRUE,""
)</f>
        <v/>
      </c>
      <c r="H26">
        <f>INDEX(Sheet2!B:B,MATCH(C26,Sheet2!A:A,0),1)</f>
        <v>2</v>
      </c>
      <c r="I26">
        <f>3-COUNTBLANK(D26:F26)</f>
        <v>1</v>
      </c>
      <c r="J26">
        <f>IF(I26&gt;=2,H26,0)</f>
        <v>0</v>
      </c>
    </row>
    <row r="27" spans="1:10" x14ac:dyDescent="0.3">
      <c r="A27" t="s">
        <v>1662</v>
      </c>
      <c r="B27" t="s">
        <v>546</v>
      </c>
      <c r="C27" t="s">
        <v>547</v>
      </c>
      <c r="D27" t="s">
        <v>72</v>
      </c>
      <c r="E27" t="s">
        <v>2221</v>
      </c>
      <c r="G27" t="str" cm="1">
        <f t="array" ref="G27">_xlfn.IFS(
ISNUMBER(SEARCH("hold",C27)),"hold",
ISNUMBER(SEARCH("youth",C27)),"youth",
ISNUMBER(SEARCH("juve",C27)),"youth",
OR(ISNUMBER(SEARCH("health",B27)),ISNUMBER(SEARCH("care ",B27)),ISNUMBER(SEARCH("psych",B27)),ISNUMBER(SEARCH("medical",B27)),ISNUMBER(SEARCH("hospital",B27))),"medical",
ISNUMBER(SEARCH("correct",B27)),"correctional",
ISNUMBER(SEARCH("process",B27)),"processing",
ISNUMBER(SEARCH("detention center",B27)),"detention",
ISNUMBER(SEARCH("detention fac",B27)),"detention",
ISNUMBER(SEARCH("staging",B27)),"staging",
ISNUMBER(SEARCH("prison",B27)),"prison",
ISNUMBER(SEARCH("penet",B27)),"prison",
ISNUMBER(SEARCH("jail",B27)),"jail",
ISNUMBER(SEARCH("detention",B27)),"detention",
ISNUMBER(SEARCH("sheriff",B27)),"sheriff/police",
ISNUMBER(SEARCH("police",B27)),"sheriff/police",
TRUE,""
)</f>
        <v>processing</v>
      </c>
      <c r="H27">
        <f>INDEX(Sheet2!B:B,MATCH(C27,Sheet2!A:A,0),1)</f>
        <v>16030</v>
      </c>
      <c r="I27">
        <f>3-COUNTBLANK(D27:F27)</f>
        <v>2</v>
      </c>
      <c r="J27">
        <f>IF(I27&gt;=2,H27,0)</f>
        <v>16030</v>
      </c>
    </row>
    <row r="28" spans="1:10" x14ac:dyDescent="0.3">
      <c r="A28" t="s">
        <v>1665</v>
      </c>
      <c r="B28" t="s">
        <v>1979</v>
      </c>
      <c r="C28" t="s">
        <v>502</v>
      </c>
      <c r="D28" t="s">
        <v>72</v>
      </c>
      <c r="F28" t="s">
        <v>2411</v>
      </c>
      <c r="G28" t="str" cm="1">
        <f t="array" ref="G28">_xlfn.IFS(
ISNUMBER(SEARCH("hold",C28)),"hold",
ISNUMBER(SEARCH("youth",C28)),"youth",
ISNUMBER(SEARCH("juve",C28)),"youth",
OR(ISNUMBER(SEARCH("health",B28)),ISNUMBER(SEARCH("care ",B28)),ISNUMBER(SEARCH("psych",B28)),ISNUMBER(SEARCH("medical",B28)),ISNUMBER(SEARCH("hospital",B28))),"medical",
ISNUMBER(SEARCH("correct",B28)),"correctional",
ISNUMBER(SEARCH("process",B28)),"processing",
ISNUMBER(SEARCH("detention center",B28)),"detention",
ISNUMBER(SEARCH("detention fac",B28)),"detention",
ISNUMBER(SEARCH("staging",B28)),"staging",
ISNUMBER(SEARCH("prison",B28)),"prison",
ISNUMBER(SEARCH("penet",B28)),"prison",
ISNUMBER(SEARCH("jail",B28)),"jail",
ISNUMBER(SEARCH("detention",B28)),"detention",
ISNUMBER(SEARCH("sheriff",B28)),"sheriff/police",
ISNUMBER(SEARCH("police",B28)),"sheriff/police",
TRUE,""
)</f>
        <v>detention</v>
      </c>
      <c r="H28">
        <f>INDEX(Sheet2!B:B,MATCH(C28,Sheet2!A:A,0),1)</f>
        <v>15993</v>
      </c>
      <c r="I28">
        <f>3-COUNTBLANK(D28:F28)</f>
        <v>2</v>
      </c>
      <c r="J28">
        <f>IF(I28&gt;=2,H28,0)</f>
        <v>15993</v>
      </c>
    </row>
    <row r="29" spans="1:10" x14ac:dyDescent="0.3">
      <c r="A29" t="s">
        <v>1436</v>
      </c>
      <c r="B29" t="s">
        <v>567</v>
      </c>
      <c r="C29" t="s">
        <v>568</v>
      </c>
      <c r="G29" t="str" cm="1">
        <f t="array" ref="G29">_xlfn.IFS(
ISNUMBER(SEARCH("hold",C29)),"hold",
ISNUMBER(SEARCH("youth",C29)),"youth",
ISNUMBER(SEARCH("juve",C29)),"youth",
OR(ISNUMBER(SEARCH("health",B29)),ISNUMBER(SEARCH("care ",B29)),ISNUMBER(SEARCH("psych",B29)),ISNUMBER(SEARCH("medical",B29)),ISNUMBER(SEARCH("hospital",B29))),"medical",
ISNUMBER(SEARCH("correct",B29)),"correctional",
ISNUMBER(SEARCH("process",B29)),"processing",
ISNUMBER(SEARCH("detention center",B29)),"detention",
ISNUMBER(SEARCH("detention fac",B29)),"detention",
ISNUMBER(SEARCH("staging",B29)),"staging",
ISNUMBER(SEARCH("prison",B29)),"prison",
ISNUMBER(SEARCH("penet",B29)),"prison",
ISNUMBER(SEARCH("jail",B29)),"jail",
ISNUMBER(SEARCH("detention",B29)),"detention",
ISNUMBER(SEARCH("sheriff",B29)),"sheriff/police",
ISNUMBER(SEARCH("police",B29)),"sheriff/police",
TRUE,""
)</f>
        <v/>
      </c>
      <c r="H29">
        <f>INDEX(Sheet2!B:B,MATCH(C29,Sheet2!A:A,0),1)</f>
        <v>1</v>
      </c>
      <c r="I29">
        <f>3-COUNTBLANK(D29:F29)</f>
        <v>0</v>
      </c>
      <c r="J29">
        <f>IF(I29&gt;=2,H29,0)</f>
        <v>0</v>
      </c>
    </row>
    <row r="30" spans="1:10" x14ac:dyDescent="0.3">
      <c r="A30" t="s">
        <v>1672</v>
      </c>
      <c r="B30" t="s">
        <v>1299</v>
      </c>
      <c r="C30" t="s">
        <v>1300</v>
      </c>
      <c r="D30" t="s">
        <v>99</v>
      </c>
      <c r="E30" t="s">
        <v>2434</v>
      </c>
      <c r="G30" t="str" cm="1">
        <f t="array" ref="G30">_xlfn.IFS(
ISNUMBER(SEARCH("hold",C30)),"hold",
ISNUMBER(SEARCH("youth",C30)),"youth",
ISNUMBER(SEARCH("juve",C30)),"youth",
OR(ISNUMBER(SEARCH("health",B30)),ISNUMBER(SEARCH("care ",B30)),ISNUMBER(SEARCH("psych",B30)),ISNUMBER(SEARCH("medical",B30)),ISNUMBER(SEARCH("hospital",B30))),"medical",
ISNUMBER(SEARCH("correct",B30)),"correctional",
ISNUMBER(SEARCH("process",B30)),"processing",
ISNUMBER(SEARCH("detention center",B30)),"detention",
ISNUMBER(SEARCH("detention fac",B30)),"detention",
ISNUMBER(SEARCH("staging",B30)),"staging",
ISNUMBER(SEARCH("prison",B30)),"prison",
ISNUMBER(SEARCH("penet",B30)),"prison",
ISNUMBER(SEARCH("jail",B30)),"jail",
ISNUMBER(SEARCH("detention",B30)),"detention",
ISNUMBER(SEARCH("sheriff",B30)),"sheriff/police",
ISNUMBER(SEARCH("police",B30)),"sheriff/police",
TRUE,""
)</f>
        <v>processing</v>
      </c>
      <c r="H30">
        <f>INDEX(Sheet2!B:B,MATCH(C30,Sheet2!A:A,0),1)</f>
        <v>15624</v>
      </c>
      <c r="I30">
        <f>3-COUNTBLANK(D30:F30)</f>
        <v>2</v>
      </c>
      <c r="J30">
        <f>IF(I30&gt;=2,H30,0)</f>
        <v>15624</v>
      </c>
    </row>
    <row r="31" spans="1:10" x14ac:dyDescent="0.3">
      <c r="A31" t="s">
        <v>1675</v>
      </c>
      <c r="B31" t="s">
        <v>97</v>
      </c>
      <c r="C31" t="s">
        <v>98</v>
      </c>
      <c r="D31" t="s">
        <v>35</v>
      </c>
      <c r="E31" t="s">
        <v>2433</v>
      </c>
      <c r="G31" t="str" cm="1">
        <f t="array" ref="G31">_xlfn.IFS(
ISNUMBER(SEARCH("hold",C31)),"hold",
ISNUMBER(SEARCH("youth",C31)),"youth",
ISNUMBER(SEARCH("juve",C31)),"youth",
OR(ISNUMBER(SEARCH("health",B31)),ISNUMBER(SEARCH("care ",B31)),ISNUMBER(SEARCH("psych",B31)),ISNUMBER(SEARCH("medical",B31)),ISNUMBER(SEARCH("hospital",B31))),"medical",
ISNUMBER(SEARCH("correct",B31)),"correctional",
ISNUMBER(SEARCH("process",B31)),"processing",
ISNUMBER(SEARCH("detention center",B31)),"detention",
ISNUMBER(SEARCH("detention fac",B31)),"detention",
ISNUMBER(SEARCH("staging",B31)),"staging",
ISNUMBER(SEARCH("prison",B31)),"prison",
ISNUMBER(SEARCH("penet",B31)),"prison",
ISNUMBER(SEARCH("jail",B31)),"jail",
ISNUMBER(SEARCH("detention",B31)),"detention",
ISNUMBER(SEARCH("sheriff",B31)),"sheriff/police",
ISNUMBER(SEARCH("police",B31)),"sheriff/police",
TRUE,""
)</f>
        <v>detention</v>
      </c>
      <c r="H31">
        <f>INDEX(Sheet2!B:B,MATCH(C31,Sheet2!A:A,0),1)</f>
        <v>15546</v>
      </c>
      <c r="I31">
        <f>3-COUNTBLANK(D31:F31)</f>
        <v>2</v>
      </c>
      <c r="J31">
        <f>IF(I31&gt;=2,H31,0)</f>
        <v>15546</v>
      </c>
    </row>
    <row r="32" spans="1:10" x14ac:dyDescent="0.3">
      <c r="A32" t="s">
        <v>1678</v>
      </c>
      <c r="B32" t="s">
        <v>863</v>
      </c>
      <c r="C32" t="s">
        <v>864</v>
      </c>
      <c r="D32" t="s">
        <v>185</v>
      </c>
      <c r="E32" t="s">
        <v>2436</v>
      </c>
      <c r="F32" t="s">
        <v>2435</v>
      </c>
      <c r="G32" t="str" cm="1">
        <f t="array" ref="G32">_xlfn.IFS(
ISNUMBER(SEARCH("hold",C32)),"hold",
ISNUMBER(SEARCH("youth",C32)),"youth",
ISNUMBER(SEARCH("juve",C32)),"youth",
OR(ISNUMBER(SEARCH("health",B32)),ISNUMBER(SEARCH("care ",B32)),ISNUMBER(SEARCH("psych",B32)),ISNUMBER(SEARCH("medical",B32)),ISNUMBER(SEARCH("hospital",B32))),"medical",
ISNUMBER(SEARCH("correct",B32)),"correctional",
ISNUMBER(SEARCH("process",B32)),"processing",
ISNUMBER(SEARCH("detention center",B32)),"detention",
ISNUMBER(SEARCH("detention fac",B32)),"detention",
ISNUMBER(SEARCH("staging",B32)),"staging",
ISNUMBER(SEARCH("prison",B32)),"prison",
ISNUMBER(SEARCH("penet",B32)),"prison",
ISNUMBER(SEARCH("jail",B32)),"jail",
ISNUMBER(SEARCH("detention",B32)),"detention",
ISNUMBER(SEARCH("sheriff",B32)),"sheriff/police",
ISNUMBER(SEARCH("police",B32)),"sheriff/police",
TRUE,""
)</f>
        <v>processing</v>
      </c>
      <c r="H32">
        <f>INDEX(Sheet2!B:B,MATCH(C32,Sheet2!A:A,0),1)</f>
        <v>15546</v>
      </c>
      <c r="I32">
        <f>3-COUNTBLANK(D32:F32)</f>
        <v>3</v>
      </c>
      <c r="J32">
        <f>IF(I32&gt;=2,H32,0)</f>
        <v>15546</v>
      </c>
    </row>
    <row r="33" spans="1:10" x14ac:dyDescent="0.3">
      <c r="A33" t="s">
        <v>1681</v>
      </c>
      <c r="B33" t="s">
        <v>493</v>
      </c>
      <c r="C33" t="s">
        <v>494</v>
      </c>
      <c r="D33" t="s">
        <v>72</v>
      </c>
      <c r="E33" t="s">
        <v>2227</v>
      </c>
      <c r="G33" t="str" cm="1">
        <f t="array" ref="G33">_xlfn.IFS(
ISNUMBER(SEARCH("hold",C33)),"hold",
ISNUMBER(SEARCH("youth",C33)),"youth",
ISNUMBER(SEARCH("juve",C33)),"youth",
OR(ISNUMBER(SEARCH("health",B33)),ISNUMBER(SEARCH("care ",B33)),ISNUMBER(SEARCH("psych",B33)),ISNUMBER(SEARCH("medical",B33)),ISNUMBER(SEARCH("hospital",B33))),"medical",
ISNUMBER(SEARCH("correct",B33)),"correctional",
ISNUMBER(SEARCH("process",B33)),"processing",
ISNUMBER(SEARCH("detention center",B33)),"detention",
ISNUMBER(SEARCH("detention fac",B33)),"detention",
ISNUMBER(SEARCH("staging",B33)),"staging",
ISNUMBER(SEARCH("prison",B33)),"prison",
ISNUMBER(SEARCH("penet",B33)),"prison",
ISNUMBER(SEARCH("jail",B33)),"jail",
ISNUMBER(SEARCH("detention",B33)),"detention",
ISNUMBER(SEARCH("sheriff",B33)),"sheriff/police",
ISNUMBER(SEARCH("police",B33)),"sheriff/police",
TRUE,""
)</f>
        <v>detention</v>
      </c>
      <c r="H33">
        <f>INDEX(Sheet2!B:B,MATCH(C33,Sheet2!A:A,0),1)</f>
        <v>15377</v>
      </c>
      <c r="I33">
        <f>3-COUNTBLANK(D33:F33)</f>
        <v>2</v>
      </c>
      <c r="J33">
        <f>IF(I33&gt;=2,H33,0)</f>
        <v>15377</v>
      </c>
    </row>
    <row r="34" spans="1:10" x14ac:dyDescent="0.3">
      <c r="A34" t="s">
        <v>1256</v>
      </c>
      <c r="B34" t="s">
        <v>642</v>
      </c>
      <c r="C34" t="s">
        <v>643</v>
      </c>
      <c r="D34" t="s">
        <v>15</v>
      </c>
      <c r="G34" t="str" cm="1">
        <f t="array" ref="G34">_xlfn.IFS(
ISNUMBER(SEARCH("hold",C34)),"hold",
ISNUMBER(SEARCH("youth",C34)),"youth",
ISNUMBER(SEARCH("juve",C34)),"youth",
OR(ISNUMBER(SEARCH("health",B34)),ISNUMBER(SEARCH("care ",B34)),ISNUMBER(SEARCH("psych",B34)),ISNUMBER(SEARCH("medical",B34)),ISNUMBER(SEARCH("hospital",B34))),"medical",
ISNUMBER(SEARCH("correct",B34)),"correctional",
ISNUMBER(SEARCH("process",B34)),"processing",
ISNUMBER(SEARCH("detention center",B34)),"detention",
ISNUMBER(SEARCH("detention fac",B34)),"detention",
ISNUMBER(SEARCH("staging",B34)),"staging",
ISNUMBER(SEARCH("prison",B34)),"prison",
ISNUMBER(SEARCH("penet",B34)),"prison",
ISNUMBER(SEARCH("jail",B34)),"jail",
ISNUMBER(SEARCH("detention",B34)),"detention",
ISNUMBER(SEARCH("sheriff",B34)),"sheriff/police",
ISNUMBER(SEARCH("police",B34)),"sheriff/police",
TRUE,""
)</f>
        <v/>
      </c>
      <c r="H34">
        <f>INDEX(Sheet2!B:B,MATCH(C34,Sheet2!A:A,0),1)</f>
        <v>4</v>
      </c>
      <c r="I34">
        <f>3-COUNTBLANK(D34:F34)</f>
        <v>1</v>
      </c>
      <c r="J34">
        <f>IF(I34&gt;=2,H34,0)</f>
        <v>0</v>
      </c>
    </row>
    <row r="35" spans="1:10" x14ac:dyDescent="0.3">
      <c r="A35" t="s">
        <v>1687</v>
      </c>
      <c r="B35" t="s">
        <v>1141</v>
      </c>
      <c r="C35" t="s">
        <v>1142</v>
      </c>
      <c r="D35" t="s">
        <v>99</v>
      </c>
      <c r="E35" t="s">
        <v>841</v>
      </c>
      <c r="G35" t="str" cm="1">
        <f t="array" ref="G35">_xlfn.IFS(
ISNUMBER(SEARCH("hold",C35)),"hold",
ISNUMBER(SEARCH("youth",C35)),"youth",
ISNUMBER(SEARCH("juve",C35)),"youth",
OR(ISNUMBER(SEARCH("health",B35)),ISNUMBER(SEARCH("care ",B35)),ISNUMBER(SEARCH("psych",B35)),ISNUMBER(SEARCH("medical",B35)),ISNUMBER(SEARCH("hospital",B35))),"medical",
ISNUMBER(SEARCH("correct",B35)),"correctional",
ISNUMBER(SEARCH("process",B35)),"processing",
ISNUMBER(SEARCH("detention center",B35)),"detention",
ISNUMBER(SEARCH("detention fac",B35)),"detention",
ISNUMBER(SEARCH("staging",B35)),"staging",
ISNUMBER(SEARCH("prison",B35)),"prison",
ISNUMBER(SEARCH("penet",B35)),"prison",
ISNUMBER(SEARCH("jail",B35)),"jail",
ISNUMBER(SEARCH("detention",B35)),"detention",
ISNUMBER(SEARCH("sheriff",B35)),"sheriff/police",
ISNUMBER(SEARCH("police",B35)),"sheriff/police",
TRUE,""
)</f>
        <v>correctional</v>
      </c>
      <c r="H35">
        <f>INDEX(Sheet2!B:B,MATCH(C35,Sheet2!A:A,0),1)</f>
        <v>14662</v>
      </c>
      <c r="I35">
        <f>3-COUNTBLANK(D35:F35)</f>
        <v>2</v>
      </c>
      <c r="J35">
        <f>IF(I35&gt;=2,H35,0)</f>
        <v>14662</v>
      </c>
    </row>
    <row r="36" spans="1:10" x14ac:dyDescent="0.3">
      <c r="A36" t="s">
        <v>1968</v>
      </c>
      <c r="B36" t="s">
        <v>2442</v>
      </c>
      <c r="C36" t="s">
        <v>1027</v>
      </c>
      <c r="D36" t="s">
        <v>23</v>
      </c>
      <c r="E36" t="s">
        <v>2228</v>
      </c>
      <c r="G36" t="str" cm="1">
        <f t="array" ref="G36">_xlfn.IFS(
ISNUMBER(SEARCH("hold",C36)),"hold",
ISNUMBER(SEARCH("youth",C36)),"youth",
ISNUMBER(SEARCH("juve",C36)),"youth",
OR(ISNUMBER(SEARCH("health",B36)),ISNUMBER(SEARCH("care ",B36)),ISNUMBER(SEARCH("psych",B36)),ISNUMBER(SEARCH("medical",B36)),ISNUMBER(SEARCH("hospital",B36))),"medical",
ISNUMBER(SEARCH("correct",B36)),"correctional",
ISNUMBER(SEARCH("process",B36)),"processing",
ISNUMBER(SEARCH("detention center",B36)),"detention",
ISNUMBER(SEARCH("detention fac",B36)),"detention",
ISNUMBER(SEARCH("staging",B36)),"staging",
ISNUMBER(SEARCH("prison",B36)),"prison",
ISNUMBER(SEARCH("penet",B36)),"prison",
ISNUMBER(SEARCH("jail",B36)),"jail",
ISNUMBER(SEARCH("detention",B36)),"detention",
ISNUMBER(SEARCH("sheriff",B36)),"sheriff/police",
ISNUMBER(SEARCH("police",B36)),"sheriff/police",
TRUE,""
)</f>
        <v>hold</v>
      </c>
      <c r="H36">
        <f>INDEX(Sheet2!B:B,MATCH(C36,Sheet2!A:A,0),1)</f>
        <v>14656</v>
      </c>
      <c r="I36">
        <f>3-COUNTBLANK(D36:F36)</f>
        <v>2</v>
      </c>
      <c r="J36">
        <f>IF(I36&gt;=2,H36,0)</f>
        <v>14656</v>
      </c>
    </row>
    <row r="37" spans="1:10" x14ac:dyDescent="0.3">
      <c r="A37" t="s">
        <v>1690</v>
      </c>
      <c r="B37" t="s">
        <v>693</v>
      </c>
      <c r="C37" t="s">
        <v>694</v>
      </c>
      <c r="G37" t="str" cm="1">
        <f t="array" ref="G37">_xlfn.IFS(
ISNUMBER(SEARCH("hold",C37)),"hold",
ISNUMBER(SEARCH("youth",C37)),"youth",
ISNUMBER(SEARCH("juve",C37)),"youth",
OR(ISNUMBER(SEARCH("health",B37)),ISNUMBER(SEARCH("care ",B37)),ISNUMBER(SEARCH("psych",B37)),ISNUMBER(SEARCH("medical",B37)),ISNUMBER(SEARCH("hospital",B37))),"medical",
ISNUMBER(SEARCH("correct",B37)),"correctional",
ISNUMBER(SEARCH("process",B37)),"processing",
ISNUMBER(SEARCH("detention center",B37)),"detention",
ISNUMBER(SEARCH("detention fac",B37)),"detention",
ISNUMBER(SEARCH("staging",B37)),"staging",
ISNUMBER(SEARCH("prison",B37)),"prison",
ISNUMBER(SEARCH("penet",B37)),"prison",
ISNUMBER(SEARCH("jail",B37)),"jail",
ISNUMBER(SEARCH("detention",B37)),"detention",
ISNUMBER(SEARCH("sheriff",B37)),"sheriff/police",
ISNUMBER(SEARCH("police",B37)),"sheriff/police",
TRUE,""
)</f>
        <v>hold</v>
      </c>
      <c r="H37">
        <f>INDEX(Sheet2!B:B,MATCH(C37,Sheet2!A:A,0),1)</f>
        <v>13945</v>
      </c>
      <c r="I37">
        <f>3-COUNTBLANK(D37:F37)</f>
        <v>0</v>
      </c>
      <c r="J37">
        <f>IF(I37&gt;=2,H37,0)</f>
        <v>0</v>
      </c>
    </row>
    <row r="38" spans="1:10" x14ac:dyDescent="0.3">
      <c r="A38" t="s">
        <v>1693</v>
      </c>
      <c r="B38" t="s">
        <v>1663</v>
      </c>
      <c r="C38" t="s">
        <v>1664</v>
      </c>
      <c r="D38" t="s">
        <v>23</v>
      </c>
      <c r="E38" t="s">
        <v>2538</v>
      </c>
      <c r="G38" t="str" cm="1">
        <f t="array" ref="G38">_xlfn.IFS(
ISNUMBER(SEARCH("hold",C38)),"hold",
ISNUMBER(SEARCH("youth",C38)),"youth",
ISNUMBER(SEARCH("juve",C38)),"youth",
OR(ISNUMBER(SEARCH("health",B38)),ISNUMBER(SEARCH("care ",B38)),ISNUMBER(SEARCH("psych",B38)),ISNUMBER(SEARCH("medical",B38)),ISNUMBER(SEARCH("hospital",B38))),"medical",
ISNUMBER(SEARCH("correct",B38)),"correctional",
ISNUMBER(SEARCH("process",B38)),"processing",
ISNUMBER(SEARCH("detention center",B38)),"detention",
ISNUMBER(SEARCH("detention fac",B38)),"detention",
ISNUMBER(SEARCH("staging",B38)),"staging",
ISNUMBER(SEARCH("prison",B38)),"prison",
ISNUMBER(SEARCH("penet",B38)),"prison",
ISNUMBER(SEARCH("jail",B38)),"jail",
ISNUMBER(SEARCH("detention",B38)),"detention",
ISNUMBER(SEARCH("sheriff",B38)),"sheriff/police",
ISNUMBER(SEARCH("police",B38)),"sheriff/police",
TRUE,""
)</f>
        <v>hold</v>
      </c>
      <c r="H38">
        <f>INDEX(Sheet2!B:B,MATCH(C38,Sheet2!A:A,0),1)</f>
        <v>12934</v>
      </c>
      <c r="I38">
        <f>3-COUNTBLANK(D38:F38)</f>
        <v>2</v>
      </c>
      <c r="J38">
        <f>IF(I38&gt;=2,H38,0)</f>
        <v>12934</v>
      </c>
    </row>
    <row r="39" spans="1:10" x14ac:dyDescent="0.3">
      <c r="A39" t="s">
        <v>1696</v>
      </c>
      <c r="B39" t="s">
        <v>1653</v>
      </c>
      <c r="C39" t="s">
        <v>1654</v>
      </c>
      <c r="D39" t="s">
        <v>59</v>
      </c>
      <c r="E39" t="s">
        <v>2229</v>
      </c>
      <c r="G39" t="str" cm="1">
        <f t="array" ref="G39">_xlfn.IFS(
ISNUMBER(SEARCH("hold",C39)),"hold",
ISNUMBER(SEARCH("youth",C39)),"youth",
ISNUMBER(SEARCH("juve",C39)),"youth",
OR(ISNUMBER(SEARCH("health",B39)),ISNUMBER(SEARCH("care ",B39)),ISNUMBER(SEARCH("psych",B39)),ISNUMBER(SEARCH("medical",B39)),ISNUMBER(SEARCH("hospital",B39))),"medical",
ISNUMBER(SEARCH("correct",B39)),"correctional",
ISNUMBER(SEARCH("process",B39)),"processing",
ISNUMBER(SEARCH("detention center",B39)),"detention",
ISNUMBER(SEARCH("detention fac",B39)),"detention",
ISNUMBER(SEARCH("staging",B39)),"staging",
ISNUMBER(SEARCH("prison",B39)),"prison",
ISNUMBER(SEARCH("penet",B39)),"prison",
ISNUMBER(SEARCH("jail",B39)),"jail",
ISNUMBER(SEARCH("detention",B39)),"detention",
ISNUMBER(SEARCH("sheriff",B39)),"sheriff/police",
ISNUMBER(SEARCH("police",B39)),"sheriff/police",
TRUE,""
)</f>
        <v>hold</v>
      </c>
      <c r="H39">
        <f>INDEX(Sheet2!B:B,MATCH(C39,Sheet2!A:A,0),1)</f>
        <v>12564</v>
      </c>
      <c r="I39">
        <f>3-COUNTBLANK(D39:F39)</f>
        <v>2</v>
      </c>
      <c r="J39">
        <f>IF(I39&gt;=2,H39,0)</f>
        <v>12564</v>
      </c>
    </row>
    <row r="40" spans="1:10" x14ac:dyDescent="0.3">
      <c r="A40" t="s">
        <v>1700</v>
      </c>
      <c r="B40" t="s">
        <v>1144</v>
      </c>
      <c r="C40" t="s">
        <v>1145</v>
      </c>
      <c r="D40" t="s">
        <v>72</v>
      </c>
      <c r="E40" t="s">
        <v>2242</v>
      </c>
      <c r="G40" t="str" cm="1">
        <f t="array" ref="G40">_xlfn.IFS(
ISNUMBER(SEARCH("hold",C40)),"hold",
ISNUMBER(SEARCH("youth",C40)),"youth",
ISNUMBER(SEARCH("juve",C40)),"youth",
OR(ISNUMBER(SEARCH("health",B40)),ISNUMBER(SEARCH("care ",B40)),ISNUMBER(SEARCH("psych",B40)),ISNUMBER(SEARCH("medical",B40)),ISNUMBER(SEARCH("hospital",B40))),"medical",
ISNUMBER(SEARCH("correct",B40)),"correctional",
ISNUMBER(SEARCH("process",B40)),"processing",
ISNUMBER(SEARCH("detention center",B40)),"detention",
ISNUMBER(SEARCH("detention fac",B40)),"detention",
ISNUMBER(SEARCH("staging",B40)),"staging",
ISNUMBER(SEARCH("prison",B40)),"prison",
ISNUMBER(SEARCH("penet",B40)),"prison",
ISNUMBER(SEARCH("jail",B40)),"jail",
ISNUMBER(SEARCH("detention",B40)),"detention",
ISNUMBER(SEARCH("sheriff",B40)),"sheriff/police",
ISNUMBER(SEARCH("police",B40)),"sheriff/police",
TRUE,""
)</f>
        <v>detention</v>
      </c>
      <c r="H40">
        <f>INDEX(Sheet2!B:B,MATCH(C40,Sheet2!A:A,0),1)</f>
        <v>12550</v>
      </c>
      <c r="I40">
        <f>3-COUNTBLANK(D40:F40)</f>
        <v>2</v>
      </c>
      <c r="J40">
        <f>IF(I40&gt;=2,H40,0)</f>
        <v>12550</v>
      </c>
    </row>
    <row r="41" spans="1:10" x14ac:dyDescent="0.3">
      <c r="A41" t="s">
        <v>1703</v>
      </c>
      <c r="B41" t="s">
        <v>1747</v>
      </c>
      <c r="C41" t="s">
        <v>1748</v>
      </c>
      <c r="D41" t="s">
        <v>78</v>
      </c>
      <c r="E41" t="s">
        <v>2403</v>
      </c>
      <c r="G41" t="str" cm="1">
        <f t="array" ref="G41">_xlfn.IFS(
ISNUMBER(SEARCH("hold",C41)),"hold",
ISNUMBER(SEARCH("youth",C41)),"youth",
ISNUMBER(SEARCH("juve",C41)),"youth",
OR(ISNUMBER(SEARCH("health",B41)),ISNUMBER(SEARCH("care ",B41)),ISNUMBER(SEARCH("psych",B41)),ISNUMBER(SEARCH("medical",B41)),ISNUMBER(SEARCH("hospital",B41))),"medical",
ISNUMBER(SEARCH("correct",B41)),"correctional",
ISNUMBER(SEARCH("process",B41)),"processing",
ISNUMBER(SEARCH("detention center",B41)),"detention",
ISNUMBER(SEARCH("detention fac",B41)),"detention",
ISNUMBER(SEARCH("staging",B41)),"staging",
ISNUMBER(SEARCH("prison",B41)),"prison",
ISNUMBER(SEARCH("penet",B41)),"prison",
ISNUMBER(SEARCH("jail",B41)),"jail",
ISNUMBER(SEARCH("detention",B41)),"detention",
ISNUMBER(SEARCH("sheriff",B41)),"sheriff/police",
ISNUMBER(SEARCH("police",B41)),"sheriff/police",
TRUE,""
)</f>
        <v>hold</v>
      </c>
      <c r="H41">
        <f>INDEX(Sheet2!B:B,MATCH(C41,Sheet2!A:A,0),1)</f>
        <v>12393</v>
      </c>
      <c r="I41">
        <f>3-COUNTBLANK(D41:F41)</f>
        <v>2</v>
      </c>
      <c r="J41">
        <f>IF(I41&gt;=2,H41,0)</f>
        <v>12393</v>
      </c>
    </row>
    <row r="42" spans="1:10" x14ac:dyDescent="0.3">
      <c r="A42" t="s">
        <v>1706</v>
      </c>
      <c r="B42" t="s">
        <v>2407</v>
      </c>
      <c r="C42" t="s">
        <v>199</v>
      </c>
      <c r="D42" t="s">
        <v>95</v>
      </c>
      <c r="E42" s="3" t="s">
        <v>2404</v>
      </c>
      <c r="G42" t="str" cm="1">
        <f t="array" ref="G42">_xlfn.IFS(
ISNUMBER(SEARCH("hold",C42)),"hold",
ISNUMBER(SEARCH("youth",C42)),"youth",
ISNUMBER(SEARCH("juve",C42)),"youth",
OR(ISNUMBER(SEARCH("health",B42)),ISNUMBER(SEARCH("care ",B42)),ISNUMBER(SEARCH("psych",B42)),ISNUMBER(SEARCH("medical",B42)),ISNUMBER(SEARCH("hospital",B42))),"medical",
ISNUMBER(SEARCH("correct",B42)),"correctional",
ISNUMBER(SEARCH("process",B42)),"processing",
ISNUMBER(SEARCH("detention center",B42)),"detention",
ISNUMBER(SEARCH("detention fac",B42)),"detention",
ISNUMBER(SEARCH("staging",B42)),"staging",
ISNUMBER(SEARCH("prison",B42)),"prison",
ISNUMBER(SEARCH("penet",B42)),"prison",
ISNUMBER(SEARCH("jail",B42)),"jail",
ISNUMBER(SEARCH("detention",B42)),"detention",
ISNUMBER(SEARCH("sheriff",B42)),"sheriff/police",
ISNUMBER(SEARCH("police",B42)),"sheriff/police",
TRUE,""
)</f>
        <v>detention</v>
      </c>
      <c r="H42">
        <f>INDEX(Sheet2!B:B,MATCH(C42,Sheet2!A:A,0),1)</f>
        <v>12203</v>
      </c>
      <c r="I42">
        <f>3-COUNTBLANK(D42:F42)</f>
        <v>2</v>
      </c>
      <c r="J42">
        <f>IF(I42&gt;=2,H42,0)</f>
        <v>12203</v>
      </c>
    </row>
    <row r="43" spans="1:10" x14ac:dyDescent="0.3">
      <c r="A43" t="s">
        <v>1708</v>
      </c>
      <c r="B43" t="s">
        <v>2539</v>
      </c>
      <c r="C43" t="s">
        <v>946</v>
      </c>
      <c r="D43" t="s">
        <v>42</v>
      </c>
      <c r="E43" t="s">
        <v>2448</v>
      </c>
      <c r="G43" t="str" cm="1">
        <f t="array" ref="G43">_xlfn.IFS(
ISNUMBER(SEARCH("hold",C43)),"hold",
ISNUMBER(SEARCH("youth",C43)),"youth",
ISNUMBER(SEARCH("juve",C43)),"youth",
OR(ISNUMBER(SEARCH("health",B43)),ISNUMBER(SEARCH("care ",B43)),ISNUMBER(SEARCH("psych",B43)),ISNUMBER(SEARCH("medical",B43)),ISNUMBER(SEARCH("hospital",B43))),"medical",
ISNUMBER(SEARCH("correct",B43)),"correctional",
ISNUMBER(SEARCH("process",B43)),"processing",
ISNUMBER(SEARCH("detention center",B43)),"detention",
ISNUMBER(SEARCH("detention fac",B43)),"detention",
ISNUMBER(SEARCH("staging",B43)),"staging",
ISNUMBER(SEARCH("prison",B43)),"prison",
ISNUMBER(SEARCH("penet",B43)),"prison",
ISNUMBER(SEARCH("jail",B43)),"jail",
ISNUMBER(SEARCH("detention",B43)),"detention",
ISNUMBER(SEARCH("sheriff",B43)),"sheriff/police",
ISNUMBER(SEARCH("police",B43)),"sheriff/police",
TRUE,""
)</f>
        <v>hold</v>
      </c>
      <c r="H43">
        <f>INDEX(Sheet2!B:B,MATCH(C43,Sheet2!A:A,0),1)</f>
        <v>12048</v>
      </c>
      <c r="I43">
        <f>3-COUNTBLANK(D43:F43)</f>
        <v>2</v>
      </c>
      <c r="J43">
        <f>IF(I43&gt;=2,H43,0)</f>
        <v>12048</v>
      </c>
    </row>
    <row r="44" spans="1:10" x14ac:dyDescent="0.3">
      <c r="A44" t="s">
        <v>1711</v>
      </c>
      <c r="B44" t="s">
        <v>295</v>
      </c>
      <c r="C44" t="s">
        <v>296</v>
      </c>
      <c r="D44" t="s">
        <v>59</v>
      </c>
      <c r="G44" t="str" cm="1">
        <f t="array" ref="G44">_xlfn.IFS(
ISNUMBER(SEARCH("hold",C44)),"hold",
ISNUMBER(SEARCH("youth",C44)),"youth",
ISNUMBER(SEARCH("juve",C44)),"youth",
OR(ISNUMBER(SEARCH("health",B44)),ISNUMBER(SEARCH("care ",B44)),ISNUMBER(SEARCH("psych",B44)),ISNUMBER(SEARCH("medical",B44)),ISNUMBER(SEARCH("hospital",B44))),"medical",
ISNUMBER(SEARCH("correct",B44)),"correctional",
ISNUMBER(SEARCH("process",B44)),"processing",
ISNUMBER(SEARCH("detention center",B44)),"detention",
ISNUMBER(SEARCH("detention fac",B44)),"detention",
ISNUMBER(SEARCH("staging",B44)),"staging",
ISNUMBER(SEARCH("prison",B44)),"prison",
ISNUMBER(SEARCH("penet",B44)),"prison",
ISNUMBER(SEARCH("jail",B44)),"jail",
ISNUMBER(SEARCH("detention",B44)),"detention",
ISNUMBER(SEARCH("sheriff",B44)),"sheriff/police",
ISNUMBER(SEARCH("police",B44)),"sheriff/police",
TRUE,""
)</f>
        <v>processing</v>
      </c>
      <c r="H44">
        <f>INDEX(Sheet2!B:B,MATCH(C44,Sheet2!A:A,0),1)</f>
        <v>11813</v>
      </c>
      <c r="I44">
        <f>3-COUNTBLANK(D44:F44)</f>
        <v>1</v>
      </c>
      <c r="J44">
        <f>IF(I44&gt;=2,H44,0)</f>
        <v>0</v>
      </c>
    </row>
    <row r="45" spans="1:10" x14ac:dyDescent="0.3">
      <c r="A45" t="s">
        <v>1714</v>
      </c>
      <c r="B45" t="s">
        <v>1768</v>
      </c>
      <c r="C45" t="s">
        <v>1769</v>
      </c>
      <c r="D45" t="s">
        <v>42</v>
      </c>
      <c r="E45" t="s">
        <v>2405</v>
      </c>
      <c r="G45" t="str" cm="1">
        <f t="array" ref="G45">_xlfn.IFS(
ISNUMBER(SEARCH("hold",C45)),"hold",
ISNUMBER(SEARCH("youth",C45)),"youth",
ISNUMBER(SEARCH("juve",C45)),"youth",
OR(ISNUMBER(SEARCH("health",B45)),ISNUMBER(SEARCH("care ",B45)),ISNUMBER(SEARCH("psych",B45)),ISNUMBER(SEARCH("medical",B45)),ISNUMBER(SEARCH("hospital",B45))),"medical",
ISNUMBER(SEARCH("correct",B45)),"correctional",
ISNUMBER(SEARCH("process",B45)),"processing",
ISNUMBER(SEARCH("detention center",B45)),"detention",
ISNUMBER(SEARCH("detention fac",B45)),"detention",
ISNUMBER(SEARCH("staging",B45)),"staging",
ISNUMBER(SEARCH("prison",B45)),"prison",
ISNUMBER(SEARCH("penet",B45)),"prison",
ISNUMBER(SEARCH("jail",B45)),"jail",
ISNUMBER(SEARCH("detention",B45)),"detention",
ISNUMBER(SEARCH("sheriff",B45)),"sheriff/police",
ISNUMBER(SEARCH("police",B45)),"sheriff/police",
TRUE,""
)</f>
        <v>processing</v>
      </c>
      <c r="H45">
        <f>INDEX(Sheet2!B:B,MATCH(C45,Sheet2!A:A,0),1)</f>
        <v>10523</v>
      </c>
      <c r="I45">
        <f>3-COUNTBLANK(D45:F45)</f>
        <v>2</v>
      </c>
      <c r="J45">
        <f>IF(I45&gt;=2,H45,0)</f>
        <v>10523</v>
      </c>
    </row>
    <row r="46" spans="1:10" x14ac:dyDescent="0.3">
      <c r="A46" t="s">
        <v>1717</v>
      </c>
      <c r="B46" t="s">
        <v>2506</v>
      </c>
      <c r="C46" t="s">
        <v>940</v>
      </c>
      <c r="D46" t="s">
        <v>227</v>
      </c>
      <c r="E46" t="s">
        <v>2507</v>
      </c>
      <c r="G46" t="str" cm="1">
        <f t="array" ref="G46">_xlfn.IFS(
ISNUMBER(SEARCH("hold",C46)),"hold",
ISNUMBER(SEARCH("youth",C46)),"youth",
ISNUMBER(SEARCH("juve",C46)),"youth",
OR(ISNUMBER(SEARCH("health",B46)),ISNUMBER(SEARCH("care ",B46)),ISNUMBER(SEARCH("psych",B46)),ISNUMBER(SEARCH("medical",B46)),ISNUMBER(SEARCH("hospital",B46))),"medical",
ISNUMBER(SEARCH("correct",B46)),"correctional",
ISNUMBER(SEARCH("process",B46)),"processing",
ISNUMBER(SEARCH("detention center",B46)),"detention",
ISNUMBER(SEARCH("detention fac",B46)),"detention",
ISNUMBER(SEARCH("staging",B46)),"staging",
ISNUMBER(SEARCH("prison",B46)),"prison",
ISNUMBER(SEARCH("penet",B46)),"prison",
ISNUMBER(SEARCH("jail",B46)),"jail",
ISNUMBER(SEARCH("detention",B46)),"detention",
ISNUMBER(SEARCH("sheriff",B46)),"sheriff/police",
ISNUMBER(SEARCH("police",B46)),"sheriff/police",
TRUE,""
)</f>
        <v>processing</v>
      </c>
      <c r="H46">
        <f>INDEX(Sheet2!B:B,MATCH(C46,Sheet2!A:A,0),1)</f>
        <v>10254</v>
      </c>
      <c r="I46">
        <f>3-COUNTBLANK(D46:F46)</f>
        <v>2</v>
      </c>
      <c r="J46">
        <f>IF(I46&gt;=2,H46,0)</f>
        <v>10254</v>
      </c>
    </row>
    <row r="47" spans="1:10" x14ac:dyDescent="0.3">
      <c r="A47" t="s">
        <v>1720</v>
      </c>
      <c r="B47" t="s">
        <v>805</v>
      </c>
      <c r="C47" t="s">
        <v>806</v>
      </c>
      <c r="D47" t="s">
        <v>6</v>
      </c>
      <c r="E47" t="s">
        <v>442</v>
      </c>
      <c r="G47" t="str" cm="1">
        <f t="array" ref="G47">_xlfn.IFS(
ISNUMBER(SEARCH("hold",C47)),"hold",
ISNUMBER(SEARCH("youth",C47)),"youth",
ISNUMBER(SEARCH("juve",C47)),"youth",
OR(ISNUMBER(SEARCH("health",B47)),ISNUMBER(SEARCH("care ",B47)),ISNUMBER(SEARCH("psych",B47)),ISNUMBER(SEARCH("medical",B47)),ISNUMBER(SEARCH("hospital",B47))),"medical",
ISNUMBER(SEARCH("correct",B47)),"correctional",
ISNUMBER(SEARCH("process",B47)),"processing",
ISNUMBER(SEARCH("detention center",B47)),"detention",
ISNUMBER(SEARCH("detention fac",B47)),"detention",
ISNUMBER(SEARCH("staging",B47)),"staging",
ISNUMBER(SEARCH("prison",B47)),"prison",
ISNUMBER(SEARCH("penet",B47)),"prison",
ISNUMBER(SEARCH("jail",B47)),"jail",
ISNUMBER(SEARCH("detention",B47)),"detention",
ISNUMBER(SEARCH("sheriff",B47)),"sheriff/police",
ISNUMBER(SEARCH("police",B47)),"sheriff/police",
TRUE,""
)</f>
        <v>staging</v>
      </c>
      <c r="H47">
        <f>INDEX(Sheet2!B:B,MATCH(C47,Sheet2!A:A,0),1)</f>
        <v>10230</v>
      </c>
      <c r="I47">
        <f>3-COUNTBLANK(D47:F47)</f>
        <v>2</v>
      </c>
      <c r="J47">
        <f>IF(I47&gt;=2,H47,0)</f>
        <v>10230</v>
      </c>
    </row>
    <row r="48" spans="1:10" x14ac:dyDescent="0.3">
      <c r="A48" t="s">
        <v>1722</v>
      </c>
      <c r="B48" t="s">
        <v>507</v>
      </c>
      <c r="C48" t="s">
        <v>508</v>
      </c>
      <c r="D48" t="s">
        <v>31</v>
      </c>
      <c r="F48" t="s">
        <v>509</v>
      </c>
      <c r="G48" t="str" cm="1">
        <f t="array" ref="G48">_xlfn.IFS(
ISNUMBER(SEARCH("hold",C48)),"hold",
ISNUMBER(SEARCH("youth",C48)),"youth",
ISNUMBER(SEARCH("juve",C48)),"youth",
OR(ISNUMBER(SEARCH("health",B48)),ISNUMBER(SEARCH("care ",B48)),ISNUMBER(SEARCH("psych",B48)),ISNUMBER(SEARCH("medical",B48)),ISNUMBER(SEARCH("hospital",B48))),"medical",
ISNUMBER(SEARCH("correct",B48)),"correctional",
ISNUMBER(SEARCH("process",B48)),"processing",
ISNUMBER(SEARCH("detention center",B48)),"detention",
ISNUMBER(SEARCH("detention fac",B48)),"detention",
ISNUMBER(SEARCH("staging",B48)),"staging",
ISNUMBER(SEARCH("prison",B48)),"prison",
ISNUMBER(SEARCH("penet",B48)),"prison",
ISNUMBER(SEARCH("jail",B48)),"jail",
ISNUMBER(SEARCH("detention",B48)),"detention",
ISNUMBER(SEARCH("sheriff",B48)),"sheriff/police",
ISNUMBER(SEARCH("police",B48)),"sheriff/police",
TRUE,""
)</f>
        <v>detention</v>
      </c>
      <c r="H48">
        <f>INDEX(Sheet2!B:B,MATCH(C48,Sheet2!A:A,0),1)</f>
        <v>9698</v>
      </c>
      <c r="I48">
        <f>3-COUNTBLANK(D48:F48)</f>
        <v>2</v>
      </c>
      <c r="J48">
        <f>IF(I48&gt;=2,H48,0)</f>
        <v>9698</v>
      </c>
    </row>
    <row r="49" spans="1:10" x14ac:dyDescent="0.3">
      <c r="A49" t="s">
        <v>1725</v>
      </c>
      <c r="B49" t="s">
        <v>583</v>
      </c>
      <c r="C49" t="s">
        <v>584</v>
      </c>
      <c r="D49" t="s">
        <v>6</v>
      </c>
      <c r="F49" t="s">
        <v>2250</v>
      </c>
      <c r="G49" t="str" cm="1">
        <f t="array" ref="G49">_xlfn.IFS(
ISNUMBER(SEARCH("hold",C49)),"hold",
ISNUMBER(SEARCH("youth",C49)),"youth",
ISNUMBER(SEARCH("juve",C49)),"youth",
OR(ISNUMBER(SEARCH("health",B49)),ISNUMBER(SEARCH("care ",B49)),ISNUMBER(SEARCH("psych",B49)),ISNUMBER(SEARCH("medical",B49)),ISNUMBER(SEARCH("hospital",B49))),"medical",
ISNUMBER(SEARCH("correct",B49)),"correctional",
ISNUMBER(SEARCH("process",B49)),"processing",
ISNUMBER(SEARCH("detention center",B49)),"detention",
ISNUMBER(SEARCH("detention fac",B49)),"detention",
ISNUMBER(SEARCH("staging",B49)),"staging",
ISNUMBER(SEARCH("prison",B49)),"prison",
ISNUMBER(SEARCH("penet",B49)),"prison",
ISNUMBER(SEARCH("jail",B49)),"jail",
ISNUMBER(SEARCH("detention",B49)),"detention",
ISNUMBER(SEARCH("sheriff",B49)),"sheriff/police",
ISNUMBER(SEARCH("police",B49)),"sheriff/police",
TRUE,""
)</f>
        <v>hold</v>
      </c>
      <c r="H49">
        <f>INDEX(Sheet2!B:B,MATCH(C49,Sheet2!A:A,0),1)</f>
        <v>9545</v>
      </c>
      <c r="I49">
        <f>3-COUNTBLANK(D49:F49)</f>
        <v>2</v>
      </c>
      <c r="J49">
        <f>IF(I49&gt;=2,H49,0)</f>
        <v>9545</v>
      </c>
    </row>
    <row r="50" spans="1:10" x14ac:dyDescent="0.3">
      <c r="A50" t="s">
        <v>1728</v>
      </c>
      <c r="B50" t="s">
        <v>2010</v>
      </c>
      <c r="C50" t="s">
        <v>1214</v>
      </c>
      <c r="D50" t="s">
        <v>72</v>
      </c>
      <c r="E50" t="s">
        <v>2452</v>
      </c>
      <c r="G50" t="str" cm="1">
        <f t="array" ref="G50">_xlfn.IFS(
ISNUMBER(SEARCH("hold",C50)),"hold",
ISNUMBER(SEARCH("youth",C50)),"youth",
ISNUMBER(SEARCH("juve",C50)),"youth",
OR(ISNUMBER(SEARCH("health",B50)),ISNUMBER(SEARCH("care ",B50)),ISNUMBER(SEARCH("psych",B50)),ISNUMBER(SEARCH("medical",B50)),ISNUMBER(SEARCH("hospital",B50))),"medical",
ISNUMBER(SEARCH("correct",B50)),"correctional",
ISNUMBER(SEARCH("process",B50)),"processing",
ISNUMBER(SEARCH("detention center",B50)),"detention",
ISNUMBER(SEARCH("detention fac",B50)),"detention",
ISNUMBER(SEARCH("staging",B50)),"staging",
ISNUMBER(SEARCH("prison",B50)),"prison",
ISNUMBER(SEARCH("penet",B50)),"prison",
ISNUMBER(SEARCH("jail",B50)),"jail",
ISNUMBER(SEARCH("detention",B50)),"detention",
ISNUMBER(SEARCH("sheriff",B50)),"sheriff/police",
ISNUMBER(SEARCH("police",B50)),"sheriff/police",
TRUE,""
)</f>
        <v>hold</v>
      </c>
      <c r="H50">
        <f>INDEX(Sheet2!B:B,MATCH(C50,Sheet2!A:A,0),1)</f>
        <v>9258</v>
      </c>
      <c r="I50">
        <f>3-COUNTBLANK(D50:F50)</f>
        <v>2</v>
      </c>
      <c r="J50">
        <f>IF(I50&gt;=2,H50,0)</f>
        <v>9258</v>
      </c>
    </row>
    <row r="51" spans="1:10" x14ac:dyDescent="0.3">
      <c r="A51" t="s">
        <v>1731</v>
      </c>
      <c r="B51" t="s">
        <v>974</v>
      </c>
      <c r="C51" t="s">
        <v>975</v>
      </c>
      <c r="D51" t="s">
        <v>6</v>
      </c>
      <c r="E51" t="s">
        <v>2437</v>
      </c>
      <c r="G51" t="str" cm="1">
        <f t="array" ref="G51">_xlfn.IFS(
ISNUMBER(SEARCH("hold",C51)),"hold",
ISNUMBER(SEARCH("youth",C51)),"youth",
ISNUMBER(SEARCH("juve",C51)),"youth",
OR(ISNUMBER(SEARCH("health",B51)),ISNUMBER(SEARCH("care ",B51)),ISNUMBER(SEARCH("psych",B51)),ISNUMBER(SEARCH("medical",B51)),ISNUMBER(SEARCH("hospital",B51))),"medical",
ISNUMBER(SEARCH("correct",B51)),"correctional",
ISNUMBER(SEARCH("process",B51)),"processing",
ISNUMBER(SEARCH("detention center",B51)),"detention",
ISNUMBER(SEARCH("detention fac",B51)),"detention",
ISNUMBER(SEARCH("staging",B51)),"staging",
ISNUMBER(SEARCH("prison",B51)),"prison",
ISNUMBER(SEARCH("penet",B51)),"prison",
ISNUMBER(SEARCH("jail",B51)),"jail",
ISNUMBER(SEARCH("detention",B51)),"detention",
ISNUMBER(SEARCH("sheriff",B51)),"sheriff/police",
ISNUMBER(SEARCH("police",B51)),"sheriff/police",
TRUE,""
)</f>
        <v>hold</v>
      </c>
      <c r="H51">
        <f>INDEX(Sheet2!B:B,MATCH(C51,Sheet2!A:A,0),1)</f>
        <v>8718</v>
      </c>
      <c r="I51">
        <f>3-COUNTBLANK(D51:F51)</f>
        <v>2</v>
      </c>
      <c r="J51">
        <f>IF(I51&gt;=2,H51,0)</f>
        <v>8718</v>
      </c>
    </row>
    <row r="52" spans="1:10" x14ac:dyDescent="0.3">
      <c r="A52" t="s">
        <v>1734</v>
      </c>
      <c r="B52" t="s">
        <v>1138</v>
      </c>
      <c r="C52" t="s">
        <v>1139</v>
      </c>
      <c r="D52" t="s">
        <v>50</v>
      </c>
      <c r="E52" t="s">
        <v>2438</v>
      </c>
      <c r="G52" t="str" cm="1">
        <f t="array" ref="G52">_xlfn.IFS(
ISNUMBER(SEARCH("hold",C52)),"hold",
ISNUMBER(SEARCH("youth",C52)),"youth",
ISNUMBER(SEARCH("juve",C52)),"youth",
OR(ISNUMBER(SEARCH("health",B52)),ISNUMBER(SEARCH("care ",B52)),ISNUMBER(SEARCH("psych",B52)),ISNUMBER(SEARCH("medical",B52)),ISNUMBER(SEARCH("hospital",B52))),"medical",
ISNUMBER(SEARCH("correct",B52)),"correctional",
ISNUMBER(SEARCH("process",B52)),"processing",
ISNUMBER(SEARCH("detention center",B52)),"detention",
ISNUMBER(SEARCH("detention fac",B52)),"detention",
ISNUMBER(SEARCH("staging",B52)),"staging",
ISNUMBER(SEARCH("prison",B52)),"prison",
ISNUMBER(SEARCH("penet",B52)),"prison",
ISNUMBER(SEARCH("jail",B52)),"jail",
ISNUMBER(SEARCH("detention",B52)),"detention",
ISNUMBER(SEARCH("sheriff",B52)),"sheriff/police",
ISNUMBER(SEARCH("police",B52)),"sheriff/police",
TRUE,""
)</f>
        <v>hold</v>
      </c>
      <c r="H52">
        <f>INDEX(Sheet2!B:B,MATCH(C52,Sheet2!A:A,0),1)</f>
        <v>8587</v>
      </c>
      <c r="I52">
        <f>3-COUNTBLANK(D52:F52)</f>
        <v>2</v>
      </c>
      <c r="J52">
        <f>IF(I52&gt;=2,H52,0)</f>
        <v>8587</v>
      </c>
    </row>
    <row r="53" spans="1:10" x14ac:dyDescent="0.3">
      <c r="A53" t="s">
        <v>1282</v>
      </c>
      <c r="B53" t="s">
        <v>751</v>
      </c>
      <c r="C53" t="s">
        <v>752</v>
      </c>
      <c r="D53" t="s">
        <v>15</v>
      </c>
      <c r="G53" t="str" cm="1">
        <f t="array" ref="G53">_xlfn.IFS(
ISNUMBER(SEARCH("hold",C53)),"hold",
ISNUMBER(SEARCH("youth",C53)),"youth",
ISNUMBER(SEARCH("juve",C53)),"youth",
OR(ISNUMBER(SEARCH("health",B53)),ISNUMBER(SEARCH("care ",B53)),ISNUMBER(SEARCH("psych",B53)),ISNUMBER(SEARCH("medical",B53)),ISNUMBER(SEARCH("hospital",B53))),"medical",
ISNUMBER(SEARCH("correct",B53)),"correctional",
ISNUMBER(SEARCH("process",B53)),"processing",
ISNUMBER(SEARCH("detention center",B53)),"detention",
ISNUMBER(SEARCH("detention fac",B53)),"detention",
ISNUMBER(SEARCH("staging",B53)),"staging",
ISNUMBER(SEARCH("prison",B53)),"prison",
ISNUMBER(SEARCH("penet",B53)),"prison",
ISNUMBER(SEARCH("jail",B53)),"jail",
ISNUMBER(SEARCH("detention",B53)),"detention",
ISNUMBER(SEARCH("sheriff",B53)),"sheriff/police",
ISNUMBER(SEARCH("police",B53)),"sheriff/police",
TRUE,""
)</f>
        <v/>
      </c>
      <c r="H53">
        <f>INDEX(Sheet2!B:B,MATCH(C53,Sheet2!A:A,0),1)</f>
        <v>3</v>
      </c>
      <c r="I53">
        <f>3-COUNTBLANK(D53:F53)</f>
        <v>1</v>
      </c>
      <c r="J53">
        <f>IF(I53&gt;=2,H53,0)</f>
        <v>0</v>
      </c>
    </row>
    <row r="54" spans="1:10" x14ac:dyDescent="0.3">
      <c r="A54" t="s">
        <v>1085</v>
      </c>
      <c r="B54" t="s">
        <v>1601</v>
      </c>
      <c r="C54" t="s">
        <v>1602</v>
      </c>
      <c r="D54" t="s">
        <v>72</v>
      </c>
      <c r="G54" t="str" cm="1">
        <f t="array" ref="G54">_xlfn.IFS(
ISNUMBER(SEARCH("hold",C54)),"hold",
ISNUMBER(SEARCH("youth",C54)),"youth",
ISNUMBER(SEARCH("juve",C54)),"youth",
OR(ISNUMBER(SEARCH("health",B54)),ISNUMBER(SEARCH("care ",B54)),ISNUMBER(SEARCH("psych",B54)),ISNUMBER(SEARCH("medical",B54)),ISNUMBER(SEARCH("hospital",B54))),"medical",
ISNUMBER(SEARCH("correct",B54)),"correctional",
ISNUMBER(SEARCH("process",B54)),"processing",
ISNUMBER(SEARCH("detention center",B54)),"detention",
ISNUMBER(SEARCH("detention fac",B54)),"detention",
ISNUMBER(SEARCH("staging",B54)),"staging",
ISNUMBER(SEARCH("prison",B54)),"prison",
ISNUMBER(SEARCH("penet",B54)),"prison",
ISNUMBER(SEARCH("jail",B54)),"jail",
ISNUMBER(SEARCH("detention",B54)),"detention",
ISNUMBER(SEARCH("sheriff",B54)),"sheriff/police",
ISNUMBER(SEARCH("police",B54)),"sheriff/police",
TRUE,""
)</f>
        <v>sheriff/police</v>
      </c>
      <c r="H54">
        <f>INDEX(Sheet2!B:B,MATCH(C54,Sheet2!A:A,0),1)</f>
        <v>16</v>
      </c>
      <c r="I54">
        <f>3-COUNTBLANK(D54:F54)</f>
        <v>1</v>
      </c>
      <c r="J54">
        <f>IF(I54&gt;=2,H54,0)</f>
        <v>0</v>
      </c>
    </row>
    <row r="55" spans="1:10" x14ac:dyDescent="0.3">
      <c r="A55" t="s">
        <v>1740</v>
      </c>
      <c r="B55" t="s">
        <v>1369</v>
      </c>
      <c r="C55" t="s">
        <v>1370</v>
      </c>
      <c r="D55" t="s">
        <v>6</v>
      </c>
      <c r="E55" t="s">
        <v>2439</v>
      </c>
      <c r="G55" t="str" cm="1">
        <f t="array" ref="G55">_xlfn.IFS(
ISNUMBER(SEARCH("hold",C55)),"hold",
ISNUMBER(SEARCH("youth",C55)),"youth",
ISNUMBER(SEARCH("juve",C55)),"youth",
OR(ISNUMBER(SEARCH("health",B55)),ISNUMBER(SEARCH("care ",B55)),ISNUMBER(SEARCH("psych",B55)),ISNUMBER(SEARCH("medical",B55)),ISNUMBER(SEARCH("hospital",B55))),"medical",
ISNUMBER(SEARCH("correct",B55)),"correctional",
ISNUMBER(SEARCH("process",B55)),"processing",
ISNUMBER(SEARCH("detention center",B55)),"detention",
ISNUMBER(SEARCH("detention fac",B55)),"detention",
ISNUMBER(SEARCH("staging",B55)),"staging",
ISNUMBER(SEARCH("prison",B55)),"prison",
ISNUMBER(SEARCH("penet",B55)),"prison",
ISNUMBER(SEARCH("jail",B55)),"jail",
ISNUMBER(SEARCH("detention",B55)),"detention",
ISNUMBER(SEARCH("sheriff",B55)),"sheriff/police",
ISNUMBER(SEARCH("police",B55)),"sheriff/police",
TRUE,""
)</f>
        <v>hold</v>
      </c>
      <c r="H55">
        <f>INDEX(Sheet2!B:B,MATCH(C55,Sheet2!A:A,0),1)</f>
        <v>8253</v>
      </c>
      <c r="I55">
        <f>3-COUNTBLANK(D55:F55)</f>
        <v>2</v>
      </c>
      <c r="J55">
        <f>IF(I55&gt;=2,H55,0)</f>
        <v>8253</v>
      </c>
    </row>
    <row r="56" spans="1:10" x14ac:dyDescent="0.3">
      <c r="A56" t="s">
        <v>1743</v>
      </c>
      <c r="B56" t="s">
        <v>1286</v>
      </c>
      <c r="C56" t="s">
        <v>1287</v>
      </c>
      <c r="D56" t="s">
        <v>31</v>
      </c>
      <c r="E56" t="s">
        <v>2222</v>
      </c>
      <c r="G56" t="str" cm="1">
        <f t="array" ref="G56">_xlfn.IFS(
ISNUMBER(SEARCH("hold",C56)),"hold",
ISNUMBER(SEARCH("youth",C56)),"youth",
ISNUMBER(SEARCH("juve",C56)),"youth",
OR(ISNUMBER(SEARCH("health",B56)),ISNUMBER(SEARCH("care ",B56)),ISNUMBER(SEARCH("psych",B56)),ISNUMBER(SEARCH("medical",B56)),ISNUMBER(SEARCH("hospital",B56))),"medical",
ISNUMBER(SEARCH("correct",B56)),"correctional",
ISNUMBER(SEARCH("process",B56)),"processing",
ISNUMBER(SEARCH("detention center",B56)),"detention",
ISNUMBER(SEARCH("detention fac",B56)),"detention",
ISNUMBER(SEARCH("staging",B56)),"staging",
ISNUMBER(SEARCH("prison",B56)),"prison",
ISNUMBER(SEARCH("penet",B56)),"prison",
ISNUMBER(SEARCH("jail",B56)),"jail",
ISNUMBER(SEARCH("detention",B56)),"detention",
ISNUMBER(SEARCH("sheriff",B56)),"sheriff/police",
ISNUMBER(SEARCH("police",B56)),"sheriff/police",
TRUE,""
)</f>
        <v>hold</v>
      </c>
      <c r="H56">
        <f>INDEX(Sheet2!B:B,MATCH(C56,Sheet2!A:A,0),1)</f>
        <v>8068</v>
      </c>
      <c r="I56">
        <f>3-COUNTBLANK(D56:F56)</f>
        <v>2</v>
      </c>
      <c r="J56">
        <f>IF(I56&gt;=2,H56,0)</f>
        <v>8068</v>
      </c>
    </row>
    <row r="57" spans="1:10" x14ac:dyDescent="0.3">
      <c r="A57" t="s">
        <v>1041</v>
      </c>
      <c r="B57" t="s">
        <v>1627</v>
      </c>
      <c r="C57" t="s">
        <v>1628</v>
      </c>
      <c r="D57" t="s">
        <v>31</v>
      </c>
      <c r="G57" t="str" cm="1">
        <f t="array" ref="G57">_xlfn.IFS(
ISNUMBER(SEARCH("hold",C57)),"hold",
ISNUMBER(SEARCH("youth",C57)),"youth",
ISNUMBER(SEARCH("juve",C57)),"youth",
OR(ISNUMBER(SEARCH("health",B57)),ISNUMBER(SEARCH("care ",B57)),ISNUMBER(SEARCH("psych",B57)),ISNUMBER(SEARCH("medical",B57)),ISNUMBER(SEARCH("hospital",B57))),"medical",
ISNUMBER(SEARCH("correct",B57)),"correctional",
ISNUMBER(SEARCH("process",B57)),"processing",
ISNUMBER(SEARCH("detention center",B57)),"detention",
ISNUMBER(SEARCH("detention fac",B57)),"detention",
ISNUMBER(SEARCH("staging",B57)),"staging",
ISNUMBER(SEARCH("prison",B57)),"prison",
ISNUMBER(SEARCH("penet",B57)),"prison",
ISNUMBER(SEARCH("jail",B57)),"jail",
ISNUMBER(SEARCH("detention",B57)),"detention",
ISNUMBER(SEARCH("sheriff",B57)),"sheriff/police",
ISNUMBER(SEARCH("police",B57)),"sheriff/police",
TRUE,""
)</f>
        <v/>
      </c>
      <c r="H57">
        <f>INDEX(Sheet2!B:B,MATCH(C57,Sheet2!A:A,0),1)</f>
        <v>22</v>
      </c>
      <c r="I57">
        <f>3-COUNTBLANK(D57:F57)</f>
        <v>1</v>
      </c>
      <c r="J57">
        <f>IF(I57&gt;=2,H57,0)</f>
        <v>0</v>
      </c>
    </row>
    <row r="58" spans="1:10" x14ac:dyDescent="0.3">
      <c r="A58" t="s">
        <v>1749</v>
      </c>
      <c r="B58" t="s">
        <v>1228</v>
      </c>
      <c r="C58" t="s">
        <v>1229</v>
      </c>
      <c r="D58" t="s">
        <v>23</v>
      </c>
      <c r="G58" t="str" cm="1">
        <f t="array" ref="G58">_xlfn.IFS(
ISNUMBER(SEARCH("hold",C58)),"hold",
ISNUMBER(SEARCH("youth",C58)),"youth",
ISNUMBER(SEARCH("juve",C58)),"youth",
OR(ISNUMBER(SEARCH("health",B58)),ISNUMBER(SEARCH("care ",B58)),ISNUMBER(SEARCH("psych",B58)),ISNUMBER(SEARCH("medical",B58)),ISNUMBER(SEARCH("hospital",B58))),"medical",
ISNUMBER(SEARCH("correct",B58)),"correctional",
ISNUMBER(SEARCH("process",B58)),"processing",
ISNUMBER(SEARCH("detention center",B58)),"detention",
ISNUMBER(SEARCH("detention fac",B58)),"detention",
ISNUMBER(SEARCH("staging",B58)),"staging",
ISNUMBER(SEARCH("prison",B58)),"prison",
ISNUMBER(SEARCH("penet",B58)),"prison",
ISNUMBER(SEARCH("jail",B58)),"jail",
ISNUMBER(SEARCH("detention",B58)),"detention",
ISNUMBER(SEARCH("sheriff",B58)),"sheriff/police",
ISNUMBER(SEARCH("police",B58)),"sheriff/police",
TRUE,""
)</f>
        <v>detention</v>
      </c>
      <c r="H58">
        <f>INDEX(Sheet2!B:B,MATCH(C58,Sheet2!A:A,0),1)</f>
        <v>7948</v>
      </c>
      <c r="I58">
        <f>3-COUNTBLANK(D58:F58)</f>
        <v>1</v>
      </c>
      <c r="J58">
        <f>IF(I58&gt;=2,H58,0)</f>
        <v>0</v>
      </c>
    </row>
    <row r="59" spans="1:10" x14ac:dyDescent="0.3">
      <c r="A59" t="s">
        <v>1752</v>
      </c>
      <c r="B59" t="s">
        <v>2008</v>
      </c>
      <c r="C59" t="s">
        <v>1661</v>
      </c>
      <c r="D59" t="s">
        <v>72</v>
      </c>
      <c r="E59" t="s">
        <v>2417</v>
      </c>
      <c r="G59" t="str" cm="1">
        <f t="array" ref="G59">_xlfn.IFS(
ISNUMBER(SEARCH("hold",C59)),"hold",
ISNUMBER(SEARCH("youth",C59)),"youth",
ISNUMBER(SEARCH("juve",C59)),"youth",
OR(ISNUMBER(SEARCH("health",B59)),ISNUMBER(SEARCH("care ",B59)),ISNUMBER(SEARCH("psych",B59)),ISNUMBER(SEARCH("medical",B59)),ISNUMBER(SEARCH("hospital",B59))),"medical",
ISNUMBER(SEARCH("correct",B59)),"correctional",
ISNUMBER(SEARCH("process",B59)),"processing",
ISNUMBER(SEARCH("detention center",B59)),"detention",
ISNUMBER(SEARCH("detention fac",B59)),"detention",
ISNUMBER(SEARCH("staging",B59)),"staging",
ISNUMBER(SEARCH("prison",B59)),"prison",
ISNUMBER(SEARCH("penet",B59)),"prison",
ISNUMBER(SEARCH("jail",B59)),"jail",
ISNUMBER(SEARCH("detention",B59)),"detention",
ISNUMBER(SEARCH("sheriff",B59)),"sheriff/police",
ISNUMBER(SEARCH("police",B59)),"sheriff/police",
TRUE,""
)</f>
        <v>hold</v>
      </c>
      <c r="H59">
        <f>INDEX(Sheet2!B:B,MATCH(C59,Sheet2!A:A,0),1)</f>
        <v>7946</v>
      </c>
      <c r="I59">
        <f>3-COUNTBLANK(D59:F59)</f>
        <v>2</v>
      </c>
      <c r="J59">
        <f>IF(I59&gt;=2,H59,0)</f>
        <v>7946</v>
      </c>
    </row>
    <row r="60" spans="1:10" x14ac:dyDescent="0.3">
      <c r="A60" t="s">
        <v>1755</v>
      </c>
      <c r="B60" t="s">
        <v>2546</v>
      </c>
      <c r="C60" t="s">
        <v>1032</v>
      </c>
      <c r="D60" t="s">
        <v>10</v>
      </c>
      <c r="F60" t="s">
        <v>2347</v>
      </c>
      <c r="G60" t="str" cm="1">
        <f t="array" ref="G60">_xlfn.IFS(
ISNUMBER(SEARCH("hold",C60)),"hold",
ISNUMBER(SEARCH("youth",C60)),"youth",
ISNUMBER(SEARCH("juve",C60)),"youth",
OR(ISNUMBER(SEARCH("health",B60)),ISNUMBER(SEARCH("care ",B60)),ISNUMBER(SEARCH("psych",B60)),ISNUMBER(SEARCH("medical",B60)),ISNUMBER(SEARCH("hospital",B60))),"medical",
ISNUMBER(SEARCH("correct",B60)),"correctional",
ISNUMBER(SEARCH("process",B60)),"processing",
ISNUMBER(SEARCH("detention center",B60)),"detention",
ISNUMBER(SEARCH("detention fac",B60)),"detention",
ISNUMBER(SEARCH("staging",B60)),"staging",
ISNUMBER(SEARCH("prison",B60)),"prison",
ISNUMBER(SEARCH("penet",B60)),"prison",
ISNUMBER(SEARCH("jail",B60)),"jail",
ISNUMBER(SEARCH("detention",B60)),"detention",
ISNUMBER(SEARCH("sheriff",B60)),"sheriff/police",
ISNUMBER(SEARCH("police",B60)),"sheriff/police",
TRUE,""
)</f>
        <v>detention</v>
      </c>
      <c r="H60">
        <f>INDEX(Sheet2!B:B,MATCH(C60,Sheet2!A:A,0),1)</f>
        <v>7941</v>
      </c>
      <c r="I60">
        <f>3-COUNTBLANK(D60:F60)</f>
        <v>2</v>
      </c>
      <c r="J60">
        <f>IF(I60&gt;=2,H60,0)</f>
        <v>7941</v>
      </c>
    </row>
    <row r="61" spans="1:10" x14ac:dyDescent="0.3">
      <c r="A61" t="s">
        <v>1758</v>
      </c>
      <c r="B61" t="s">
        <v>1511</v>
      </c>
      <c r="C61" t="s">
        <v>1512</v>
      </c>
      <c r="G61" t="str" cm="1">
        <f t="array" ref="G61">_xlfn.IFS(
ISNUMBER(SEARCH("hold",C61)),"hold",
ISNUMBER(SEARCH("youth",C61)),"youth",
ISNUMBER(SEARCH("juve",C61)),"youth",
OR(ISNUMBER(SEARCH("health",B61)),ISNUMBER(SEARCH("care ",B61)),ISNUMBER(SEARCH("psych",B61)),ISNUMBER(SEARCH("medical",B61)),ISNUMBER(SEARCH("hospital",B61))),"medical",
ISNUMBER(SEARCH("correct",B61)),"correctional",
ISNUMBER(SEARCH("process",B61)),"processing",
ISNUMBER(SEARCH("detention center",B61)),"detention",
ISNUMBER(SEARCH("detention fac",B61)),"detention",
ISNUMBER(SEARCH("staging",B61)),"staging",
ISNUMBER(SEARCH("prison",B61)),"prison",
ISNUMBER(SEARCH("penet",B61)),"prison",
ISNUMBER(SEARCH("jail",B61)),"jail",
ISNUMBER(SEARCH("detention",B61)),"detention",
ISNUMBER(SEARCH("sheriff",B61)),"sheriff/police",
ISNUMBER(SEARCH("police",B61)),"sheriff/police",
TRUE,""
)</f>
        <v>hold</v>
      </c>
      <c r="H61">
        <f>INDEX(Sheet2!B:B,MATCH(C61,Sheet2!A:A,0),1)</f>
        <v>7939</v>
      </c>
      <c r="I61">
        <f>3-COUNTBLANK(D61:F61)</f>
        <v>0</v>
      </c>
      <c r="J61">
        <f>IF(I61&gt;=2,H61,0)</f>
        <v>0</v>
      </c>
    </row>
    <row r="62" spans="1:10" x14ac:dyDescent="0.3">
      <c r="A62" t="s">
        <v>1761</v>
      </c>
      <c r="B62" t="s">
        <v>2540</v>
      </c>
      <c r="C62" t="s">
        <v>757</v>
      </c>
      <c r="D62" t="s">
        <v>72</v>
      </c>
      <c r="E62" t="s">
        <v>2440</v>
      </c>
      <c r="G62" t="str" cm="1">
        <f t="array" ref="G62">_xlfn.IFS(
ISNUMBER(SEARCH("hold",C62)),"hold",
ISNUMBER(SEARCH("youth",C62)),"youth",
ISNUMBER(SEARCH("juve",C62)),"youth",
OR(ISNUMBER(SEARCH("health",B62)),ISNUMBER(SEARCH("care ",B62)),ISNUMBER(SEARCH("psych",B62)),ISNUMBER(SEARCH("medical",B62)),ISNUMBER(SEARCH("hospital",B62))),"medical",
ISNUMBER(SEARCH("correct",B62)),"correctional",
ISNUMBER(SEARCH("process",B62)),"processing",
ISNUMBER(SEARCH("detention center",B62)),"detention",
ISNUMBER(SEARCH("detention fac",B62)),"detention",
ISNUMBER(SEARCH("staging",B62)),"staging",
ISNUMBER(SEARCH("prison",B62)),"prison",
ISNUMBER(SEARCH("penet",B62)),"prison",
ISNUMBER(SEARCH("jail",B62)),"jail",
ISNUMBER(SEARCH("detention",B62)),"detention",
ISNUMBER(SEARCH("sheriff",B62)),"sheriff/police",
ISNUMBER(SEARCH("police",B62)),"sheriff/police",
TRUE,""
)</f>
        <v>hold</v>
      </c>
      <c r="H62">
        <f>INDEX(Sheet2!B:B,MATCH(C62,Sheet2!A:A,0),1)</f>
        <v>7902</v>
      </c>
      <c r="I62">
        <f>3-COUNTBLANK(D62:F62)</f>
        <v>2</v>
      </c>
      <c r="J62">
        <f>IF(I62&gt;=2,H62,0)</f>
        <v>7902</v>
      </c>
    </row>
    <row r="63" spans="1:10" x14ac:dyDescent="0.3">
      <c r="A63" t="s">
        <v>1764</v>
      </c>
      <c r="B63" t="s">
        <v>622</v>
      </c>
      <c r="C63" t="s">
        <v>623</v>
      </c>
      <c r="D63" t="s">
        <v>72</v>
      </c>
      <c r="E63" t="s">
        <v>2441</v>
      </c>
      <c r="G63" t="str" cm="1">
        <f t="array" ref="G63">_xlfn.IFS(
ISNUMBER(SEARCH("hold",C63)),"hold",
ISNUMBER(SEARCH("youth",C63)),"youth",
ISNUMBER(SEARCH("juve",C63)),"youth",
OR(ISNUMBER(SEARCH("health",B63)),ISNUMBER(SEARCH("care ",B63)),ISNUMBER(SEARCH("psych",B63)),ISNUMBER(SEARCH("medical",B63)),ISNUMBER(SEARCH("hospital",B63))),"medical",
ISNUMBER(SEARCH("correct",B63)),"correctional",
ISNUMBER(SEARCH("process",B63)),"processing",
ISNUMBER(SEARCH("detention center",B63)),"detention",
ISNUMBER(SEARCH("detention fac",B63)),"detention",
ISNUMBER(SEARCH("staging",B63)),"staging",
ISNUMBER(SEARCH("prison",B63)),"prison",
ISNUMBER(SEARCH("penet",B63)),"prison",
ISNUMBER(SEARCH("jail",B63)),"jail",
ISNUMBER(SEARCH("detention",B63)),"detention",
ISNUMBER(SEARCH("sheriff",B63)),"sheriff/police",
ISNUMBER(SEARCH("police",B63)),"sheriff/police",
TRUE,""
)</f>
        <v>processing</v>
      </c>
      <c r="H63">
        <f>INDEX(Sheet2!B:B,MATCH(C63,Sheet2!A:A,0),1)</f>
        <v>7694</v>
      </c>
      <c r="I63">
        <f>3-COUNTBLANK(D63:F63)</f>
        <v>2</v>
      </c>
      <c r="J63">
        <f>IF(I63&gt;=2,H63,0)</f>
        <v>7694</v>
      </c>
    </row>
    <row r="64" spans="1:10" x14ac:dyDescent="0.3">
      <c r="A64" t="s">
        <v>44</v>
      </c>
      <c r="B64" t="s">
        <v>1624</v>
      </c>
      <c r="C64" t="s">
        <v>1625</v>
      </c>
      <c r="D64" t="s">
        <v>99</v>
      </c>
      <c r="F64" t="s">
        <v>2402</v>
      </c>
      <c r="G64" t="str" cm="1">
        <f t="array" ref="G64">_xlfn.IFS(
ISNUMBER(SEARCH("hold",C64)),"hold",
ISNUMBER(SEARCH("youth",C64)),"youth",
ISNUMBER(SEARCH("juve",C64)),"youth",
OR(ISNUMBER(SEARCH("health",B64)),ISNUMBER(SEARCH("care ",B64)),ISNUMBER(SEARCH("psych",B64)),ISNUMBER(SEARCH("medical",B64)),ISNUMBER(SEARCH("hospital",B64))),"medical",
ISNUMBER(SEARCH("correct",B64)),"correctional",
ISNUMBER(SEARCH("process",B64)),"processing",
ISNUMBER(SEARCH("detention center",B64)),"detention",
ISNUMBER(SEARCH("detention fac",B64)),"detention",
ISNUMBER(SEARCH("staging",B64)),"staging",
ISNUMBER(SEARCH("prison",B64)),"prison",
ISNUMBER(SEARCH("penet",B64)),"prison",
ISNUMBER(SEARCH("jail",B64)),"jail",
ISNUMBER(SEARCH("detention",B64)),"detention",
ISNUMBER(SEARCH("sheriff",B64)),"sheriff/police",
ISNUMBER(SEARCH("police",B64)),"sheriff/police",
TRUE,""
)</f>
        <v/>
      </c>
      <c r="H64">
        <f>INDEX(Sheet2!B:B,MATCH(C64,Sheet2!A:A,0),1)</f>
        <v>2132</v>
      </c>
      <c r="I64">
        <f>3-COUNTBLANK(D64:F64)</f>
        <v>2</v>
      </c>
      <c r="J64">
        <f>IF(I64&gt;=2,H64,0)</f>
        <v>2132</v>
      </c>
    </row>
    <row r="65" spans="1:10" x14ac:dyDescent="0.3">
      <c r="A65" t="s">
        <v>1770</v>
      </c>
      <c r="B65" t="s">
        <v>243</v>
      </c>
      <c r="C65" t="s">
        <v>244</v>
      </c>
      <c r="D65" t="s">
        <v>50</v>
      </c>
      <c r="G65" t="str" cm="1">
        <f t="array" ref="G65">_xlfn.IFS(
ISNUMBER(SEARCH("hold",C65)),"hold",
ISNUMBER(SEARCH("youth",C65)),"youth",
ISNUMBER(SEARCH("juve",C65)),"youth",
OR(ISNUMBER(SEARCH("health",B65)),ISNUMBER(SEARCH("care ",B65)),ISNUMBER(SEARCH("psych",B65)),ISNUMBER(SEARCH("medical",B65)),ISNUMBER(SEARCH("hospital",B65))),"medical",
ISNUMBER(SEARCH("correct",B65)),"correctional",
ISNUMBER(SEARCH("process",B65)),"processing",
ISNUMBER(SEARCH("detention center",B65)),"detention",
ISNUMBER(SEARCH("detention fac",B65)),"detention",
ISNUMBER(SEARCH("staging",B65)),"staging",
ISNUMBER(SEARCH("prison",B65)),"prison",
ISNUMBER(SEARCH("penet",B65)),"prison",
ISNUMBER(SEARCH("jail",B65)),"jail",
ISNUMBER(SEARCH("detention",B65)),"detention",
ISNUMBER(SEARCH("sheriff",B65)),"sheriff/police",
ISNUMBER(SEARCH("police",B65)),"sheriff/police",
TRUE,""
)</f>
        <v>detention</v>
      </c>
      <c r="H65">
        <f>INDEX(Sheet2!B:B,MATCH(C65,Sheet2!A:A,0),1)</f>
        <v>7001</v>
      </c>
      <c r="I65">
        <f>3-COUNTBLANK(D65:F65)</f>
        <v>1</v>
      </c>
      <c r="J65">
        <f>IF(I65&gt;=2,H65,0)</f>
        <v>0</v>
      </c>
    </row>
    <row r="66" spans="1:10" x14ac:dyDescent="0.3">
      <c r="A66" t="s">
        <v>1773</v>
      </c>
      <c r="B66" t="s">
        <v>415</v>
      </c>
      <c r="C66" t="s">
        <v>416</v>
      </c>
      <c r="D66" t="s">
        <v>72</v>
      </c>
      <c r="E66" t="s">
        <v>423</v>
      </c>
      <c r="G66" t="str" cm="1">
        <f t="array" ref="G66">_xlfn.IFS(
ISNUMBER(SEARCH("hold",C66)),"hold",
ISNUMBER(SEARCH("youth",C66)),"youth",
ISNUMBER(SEARCH("juve",C66)),"youth",
OR(ISNUMBER(SEARCH("health",B66)),ISNUMBER(SEARCH("care ",B66)),ISNUMBER(SEARCH("psych",B66)),ISNUMBER(SEARCH("medical",B66)),ISNUMBER(SEARCH("hospital",B66))),"medical",
ISNUMBER(SEARCH("correct",B66)),"correctional",
ISNUMBER(SEARCH("process",B66)),"processing",
ISNUMBER(SEARCH("detention center",B66)),"detention",
ISNUMBER(SEARCH("detention fac",B66)),"detention",
ISNUMBER(SEARCH("staging",B66)),"staging",
ISNUMBER(SEARCH("prison",B66)),"prison",
ISNUMBER(SEARCH("penet",B66)),"prison",
ISNUMBER(SEARCH("jail",B66)),"jail",
ISNUMBER(SEARCH("detention",B66)),"detention",
ISNUMBER(SEARCH("sheriff",B66)),"sheriff/police",
ISNUMBER(SEARCH("police",B66)),"sheriff/police",
TRUE,""
)</f>
        <v>hold</v>
      </c>
      <c r="H66">
        <f>INDEX(Sheet2!B:B,MATCH(C66,Sheet2!A:A,0),1)</f>
        <v>6946</v>
      </c>
      <c r="I66">
        <f>3-COUNTBLANK(D66:F66)</f>
        <v>2</v>
      </c>
      <c r="J66">
        <f>IF(I66&gt;=2,H66,0)</f>
        <v>6946</v>
      </c>
    </row>
    <row r="67" spans="1:10" x14ac:dyDescent="0.3">
      <c r="A67" t="s">
        <v>1814</v>
      </c>
      <c r="B67" t="s">
        <v>1673</v>
      </c>
      <c r="C67" t="s">
        <v>1674</v>
      </c>
      <c r="D67" t="s">
        <v>6</v>
      </c>
      <c r="F67" t="s">
        <v>2343</v>
      </c>
      <c r="G67" t="str" cm="1">
        <f t="array" ref="G67">_xlfn.IFS(
ISNUMBER(SEARCH("hold",C67)),"hold",
ISNUMBER(SEARCH("youth",C67)),"youth",
ISNUMBER(SEARCH("juve",C67)),"youth",
OR(ISNUMBER(SEARCH("health",B67)),ISNUMBER(SEARCH("care ",B67)),ISNUMBER(SEARCH("psych",B67)),ISNUMBER(SEARCH("medical",B67)),ISNUMBER(SEARCH("hospital",B67))),"medical",
ISNUMBER(SEARCH("correct",B67)),"correctional",
ISNUMBER(SEARCH("process",B67)),"processing",
ISNUMBER(SEARCH("detention center",B67)),"detention",
ISNUMBER(SEARCH("detention fac",B67)),"detention",
ISNUMBER(SEARCH("staging",B67)),"staging",
ISNUMBER(SEARCH("prison",B67)),"prison",
ISNUMBER(SEARCH("penet",B67)),"prison",
ISNUMBER(SEARCH("jail",B67)),"jail",
ISNUMBER(SEARCH("detention",B67)),"detention",
ISNUMBER(SEARCH("sheriff",B67)),"sheriff/police",
ISNUMBER(SEARCH("police",B67)),"sheriff/police",
TRUE,""
)</f>
        <v>sheriff/police</v>
      </c>
      <c r="H67">
        <f>INDEX(Sheet2!B:B,MATCH(C67,Sheet2!A:A,0),1)</f>
        <v>5023</v>
      </c>
      <c r="I67">
        <f>3-COUNTBLANK(D67:F67)</f>
        <v>2</v>
      </c>
      <c r="J67">
        <f>IF(I67&gt;=2,H67,0)</f>
        <v>5023</v>
      </c>
    </row>
    <row r="68" spans="1:10" x14ac:dyDescent="0.3">
      <c r="A68" t="s">
        <v>1780</v>
      </c>
      <c r="B68" t="s">
        <v>1363</v>
      </c>
      <c r="C68" t="s">
        <v>1364</v>
      </c>
      <c r="D68" t="s">
        <v>72</v>
      </c>
      <c r="E68" s="3" t="s">
        <v>1373</v>
      </c>
      <c r="G68" t="str" cm="1">
        <f t="array" ref="G68">_xlfn.IFS(
ISNUMBER(SEARCH("hold",C68)),"hold",
ISNUMBER(SEARCH("youth",C68)),"youth",
ISNUMBER(SEARCH("juve",C68)),"youth",
OR(ISNUMBER(SEARCH("health",B68)),ISNUMBER(SEARCH("care ",B68)),ISNUMBER(SEARCH("psych",B68)),ISNUMBER(SEARCH("medical",B68)),ISNUMBER(SEARCH("hospital",B68))),"medical",
ISNUMBER(SEARCH("correct",B68)),"correctional",
ISNUMBER(SEARCH("process",B68)),"processing",
ISNUMBER(SEARCH("detention center",B68)),"detention",
ISNUMBER(SEARCH("detention fac",B68)),"detention",
ISNUMBER(SEARCH("staging",B68)),"staging",
ISNUMBER(SEARCH("prison",B68)),"prison",
ISNUMBER(SEARCH("penet",B68)),"prison",
ISNUMBER(SEARCH("jail",B68)),"jail",
ISNUMBER(SEARCH("detention",B68)),"detention",
ISNUMBER(SEARCH("sheriff",B68)),"sheriff/police",
ISNUMBER(SEARCH("police",B68)),"sheriff/police",
TRUE,""
)</f>
        <v>detention</v>
      </c>
      <c r="H68">
        <f>INDEX(Sheet2!B:B,MATCH(C68,Sheet2!A:A,0),1)</f>
        <v>6659</v>
      </c>
      <c r="I68">
        <f>3-COUNTBLANK(D68:F68)</f>
        <v>2</v>
      </c>
      <c r="J68">
        <f>IF(I68&gt;=2,H68,0)</f>
        <v>6659</v>
      </c>
    </row>
    <row r="69" spans="1:10" x14ac:dyDescent="0.3">
      <c r="A69" t="s">
        <v>1820</v>
      </c>
      <c r="B69" t="s">
        <v>1521</v>
      </c>
      <c r="C69" t="s">
        <v>1522</v>
      </c>
      <c r="D69" t="s">
        <v>72</v>
      </c>
      <c r="F69" t="s">
        <v>2386</v>
      </c>
      <c r="G69" t="str" cm="1">
        <f t="array" ref="G69">_xlfn.IFS(
ISNUMBER(SEARCH("hold",C69)),"hold",
ISNUMBER(SEARCH("youth",C69)),"youth",
ISNUMBER(SEARCH("juve",C69)),"youth",
OR(ISNUMBER(SEARCH("health",B69)),ISNUMBER(SEARCH("care ",B69)),ISNUMBER(SEARCH("psych",B69)),ISNUMBER(SEARCH("medical",B69)),ISNUMBER(SEARCH("hospital",B69))),"medical",
ISNUMBER(SEARCH("correct",B69)),"correctional",
ISNUMBER(SEARCH("process",B69)),"processing",
ISNUMBER(SEARCH("detention center",B69)),"detention",
ISNUMBER(SEARCH("detention fac",B69)),"detention",
ISNUMBER(SEARCH("staging",B69)),"staging",
ISNUMBER(SEARCH("prison",B69)),"prison",
ISNUMBER(SEARCH("penet",B69)),"prison",
ISNUMBER(SEARCH("jail",B69)),"jail",
ISNUMBER(SEARCH("detention",B69)),"detention",
ISNUMBER(SEARCH("sheriff",B69)),"sheriff/police",
ISNUMBER(SEARCH("police",B69)),"sheriff/police",
TRUE,""
)</f>
        <v>correctional</v>
      </c>
      <c r="H69">
        <f>INDEX(Sheet2!B:B,MATCH(C69,Sheet2!A:A,0),1)</f>
        <v>6566</v>
      </c>
      <c r="I69">
        <f>3-COUNTBLANK(D69:F69)</f>
        <v>2</v>
      </c>
      <c r="J69">
        <f>IF(I69&gt;=2,H69,0)</f>
        <v>6566</v>
      </c>
    </row>
    <row r="70" spans="1:10" x14ac:dyDescent="0.3">
      <c r="A70" t="s">
        <v>1783</v>
      </c>
      <c r="B70" t="s">
        <v>514</v>
      </c>
      <c r="C70" t="s">
        <v>515</v>
      </c>
      <c r="D70" t="s">
        <v>83</v>
      </c>
      <c r="E70" t="s">
        <v>2453</v>
      </c>
      <c r="G70" t="str" cm="1">
        <f t="array" ref="G70">_xlfn.IFS(
ISNUMBER(SEARCH("hold",C70)),"hold",
ISNUMBER(SEARCH("youth",C70)),"youth",
ISNUMBER(SEARCH("juve",C70)),"youth",
OR(ISNUMBER(SEARCH("health",B70)),ISNUMBER(SEARCH("care ",B70)),ISNUMBER(SEARCH("psych",B70)),ISNUMBER(SEARCH("medical",B70)),ISNUMBER(SEARCH("hospital",B70))),"medical",
ISNUMBER(SEARCH("correct",B70)),"correctional",
ISNUMBER(SEARCH("process",B70)),"processing",
ISNUMBER(SEARCH("detention center",B70)),"detention",
ISNUMBER(SEARCH("detention fac",B70)),"detention",
ISNUMBER(SEARCH("staging",B70)),"staging",
ISNUMBER(SEARCH("prison",B70)),"prison",
ISNUMBER(SEARCH("penet",B70)),"prison",
ISNUMBER(SEARCH("jail",B70)),"jail",
ISNUMBER(SEARCH("detention",B70)),"detention",
ISNUMBER(SEARCH("sheriff",B70)),"sheriff/police",
ISNUMBER(SEARCH("police",B70)),"sheriff/police",
TRUE,""
)</f>
        <v>hold</v>
      </c>
      <c r="H70">
        <f>INDEX(Sheet2!B:B,MATCH(C70,Sheet2!A:A,0),1)</f>
        <v>6441</v>
      </c>
      <c r="I70">
        <f>3-COUNTBLANK(D70:F70)</f>
        <v>2</v>
      </c>
      <c r="J70">
        <f>IF(I70&gt;=2,H70,0)</f>
        <v>6441</v>
      </c>
    </row>
    <row r="71" spans="1:10" x14ac:dyDescent="0.3">
      <c r="A71" t="s">
        <v>1785</v>
      </c>
      <c r="B71" t="s">
        <v>1827</v>
      </c>
      <c r="C71" t="s">
        <v>1828</v>
      </c>
      <c r="D71" t="s">
        <v>23</v>
      </c>
      <c r="E71" t="s">
        <v>275</v>
      </c>
      <c r="G71" t="str" cm="1">
        <f t="array" ref="G71">_xlfn.IFS(
ISNUMBER(SEARCH("hold",C71)),"hold",
ISNUMBER(SEARCH("youth",C71)),"youth",
ISNUMBER(SEARCH("juve",C71)),"youth",
OR(ISNUMBER(SEARCH("health",B71)),ISNUMBER(SEARCH("care ",B71)),ISNUMBER(SEARCH("psych",B71)),ISNUMBER(SEARCH("medical",B71)),ISNUMBER(SEARCH("hospital",B71))),"medical",
ISNUMBER(SEARCH("correct",B71)),"correctional",
ISNUMBER(SEARCH("process",B71)),"processing",
ISNUMBER(SEARCH("detention center",B71)),"detention",
ISNUMBER(SEARCH("detention fac",B71)),"detention",
ISNUMBER(SEARCH("staging",B71)),"staging",
ISNUMBER(SEARCH("prison",B71)),"prison",
ISNUMBER(SEARCH("penet",B71)),"prison",
ISNUMBER(SEARCH("jail",B71)),"jail",
ISNUMBER(SEARCH("detention",B71)),"detention",
ISNUMBER(SEARCH("sheriff",B71)),"sheriff/police",
ISNUMBER(SEARCH("police",B71)),"sheriff/police",
TRUE,""
)</f>
        <v>correctional</v>
      </c>
      <c r="H71">
        <f>INDEX(Sheet2!B:B,MATCH(C71,Sheet2!A:A,0),1)</f>
        <v>6356</v>
      </c>
      <c r="I71">
        <f>3-COUNTBLANK(D71:F71)</f>
        <v>2</v>
      </c>
      <c r="J71">
        <f>IF(I71&gt;=2,H71,0)</f>
        <v>6356</v>
      </c>
    </row>
    <row r="72" spans="1:10" x14ac:dyDescent="0.3">
      <c r="A72" t="s">
        <v>1788</v>
      </c>
      <c r="B72" t="s">
        <v>1152</v>
      </c>
      <c r="C72" t="s">
        <v>1153</v>
      </c>
      <c r="D72" t="s">
        <v>99</v>
      </c>
      <c r="E72" t="s">
        <v>2552</v>
      </c>
      <c r="G72" t="str" cm="1">
        <f t="array" ref="G72">_xlfn.IFS(
ISNUMBER(SEARCH("hold",C72)),"hold",
ISNUMBER(SEARCH("youth",C72)),"youth",
ISNUMBER(SEARCH("juve",C72)),"youth",
OR(ISNUMBER(SEARCH("health",B72)),ISNUMBER(SEARCH("care ",B72)),ISNUMBER(SEARCH("psych",B72)),ISNUMBER(SEARCH("medical",B72)),ISNUMBER(SEARCH("hospital",B72))),"medical",
ISNUMBER(SEARCH("correct",B72)),"correctional",
ISNUMBER(SEARCH("process",B72)),"processing",
ISNUMBER(SEARCH("detention center",B72)),"detention",
ISNUMBER(SEARCH("detention fac",B72)),"detention",
ISNUMBER(SEARCH("staging",B72)),"staging",
ISNUMBER(SEARCH("prison",B72)),"prison",
ISNUMBER(SEARCH("penet",B72)),"prison",
ISNUMBER(SEARCH("jail",B72)),"jail",
ISNUMBER(SEARCH("detention",B72)),"detention",
ISNUMBER(SEARCH("sheriff",B72)),"sheriff/police",
ISNUMBER(SEARCH("police",B72)),"sheriff/police",
TRUE,""
)</f>
        <v>correctional</v>
      </c>
      <c r="H72">
        <f>INDEX(Sheet2!B:B,MATCH(C72,Sheet2!A:A,0),1)</f>
        <v>6323</v>
      </c>
      <c r="I72">
        <f>3-COUNTBLANK(D72:F72)</f>
        <v>2</v>
      </c>
      <c r="J72">
        <f>IF(I72&gt;=2,H72,0)</f>
        <v>6323</v>
      </c>
    </row>
    <row r="73" spans="1:10" x14ac:dyDescent="0.3">
      <c r="A73" t="s">
        <v>1095</v>
      </c>
      <c r="B73" t="s">
        <v>1694</v>
      </c>
      <c r="C73" t="s">
        <v>1695</v>
      </c>
      <c r="D73" t="s">
        <v>6</v>
      </c>
      <c r="F73" t="s">
        <v>2278</v>
      </c>
      <c r="G73" t="str" cm="1">
        <f t="array" ref="G73">_xlfn.IFS(
ISNUMBER(SEARCH("hold",C73)),"hold",
ISNUMBER(SEARCH("youth",C73)),"youth",
ISNUMBER(SEARCH("juve",C73)),"youth",
OR(ISNUMBER(SEARCH("health",B73)),ISNUMBER(SEARCH("care ",B73)),ISNUMBER(SEARCH("psych",B73)),ISNUMBER(SEARCH("medical",B73)),ISNUMBER(SEARCH("hospital",B73))),"medical",
ISNUMBER(SEARCH("correct",B73)),"correctional",
ISNUMBER(SEARCH("process",B73)),"processing",
ISNUMBER(SEARCH("detention center",B73)),"detention",
ISNUMBER(SEARCH("detention fac",B73)),"detention",
ISNUMBER(SEARCH("staging",B73)),"staging",
ISNUMBER(SEARCH("prison",B73)),"prison",
ISNUMBER(SEARCH("penet",B73)),"prison",
ISNUMBER(SEARCH("jail",B73)),"jail",
ISNUMBER(SEARCH("detention",B73)),"detention",
ISNUMBER(SEARCH("sheriff",B73)),"sheriff/police",
ISNUMBER(SEARCH("police",B73)),"sheriff/police",
TRUE,""
)</f>
        <v/>
      </c>
      <c r="H73">
        <f>INDEX(Sheet2!B:B,MATCH(C73,Sheet2!A:A,0),1)</f>
        <v>15</v>
      </c>
      <c r="I73">
        <f>3-COUNTBLANK(D73:F73)</f>
        <v>2</v>
      </c>
      <c r="J73">
        <f>IF(I73&gt;=2,H73,0)</f>
        <v>15</v>
      </c>
    </row>
    <row r="74" spans="1:10" x14ac:dyDescent="0.3">
      <c r="A74" t="s">
        <v>1794</v>
      </c>
      <c r="B74" t="s">
        <v>897</v>
      </c>
      <c r="C74" t="s">
        <v>898</v>
      </c>
      <c r="D74" t="s">
        <v>141</v>
      </c>
      <c r="G74" t="str" cm="1">
        <f t="array" ref="G74">_xlfn.IFS(
ISNUMBER(SEARCH("hold",C74)),"hold",
ISNUMBER(SEARCH("youth",C74)),"youth",
ISNUMBER(SEARCH("juve",C74)),"youth",
OR(ISNUMBER(SEARCH("health",B74)),ISNUMBER(SEARCH("care ",B74)),ISNUMBER(SEARCH("psych",B74)),ISNUMBER(SEARCH("medical",B74)),ISNUMBER(SEARCH("hospital",B74))),"medical",
ISNUMBER(SEARCH("correct",B74)),"correctional",
ISNUMBER(SEARCH("process",B74)),"processing",
ISNUMBER(SEARCH("detention center",B74)),"detention",
ISNUMBER(SEARCH("detention fac",B74)),"detention",
ISNUMBER(SEARCH("staging",B74)),"staging",
ISNUMBER(SEARCH("prison",B74)),"prison",
ISNUMBER(SEARCH("penet",B74)),"prison",
ISNUMBER(SEARCH("jail",B74)),"jail",
ISNUMBER(SEARCH("detention",B74)),"detention",
ISNUMBER(SEARCH("sheriff",B74)),"sheriff/police",
ISNUMBER(SEARCH("police",B74)),"sheriff/police",
TRUE,""
)</f>
        <v>detention</v>
      </c>
      <c r="H74">
        <f>INDEX(Sheet2!B:B,MATCH(C74,Sheet2!A:A,0),1)</f>
        <v>6246</v>
      </c>
      <c r="I74">
        <f>3-COUNTBLANK(D74:F74)</f>
        <v>1</v>
      </c>
      <c r="J74">
        <f>IF(I74&gt;=2,H74,0)</f>
        <v>0</v>
      </c>
    </row>
    <row r="75" spans="1:10" x14ac:dyDescent="0.3">
      <c r="A75" t="s">
        <v>973</v>
      </c>
      <c r="B75" t="s">
        <v>1709</v>
      </c>
      <c r="C75" t="s">
        <v>1710</v>
      </c>
      <c r="D75" t="s">
        <v>35</v>
      </c>
      <c r="G75" t="str" cm="1">
        <f t="array" ref="G75">_xlfn.IFS(
ISNUMBER(SEARCH("hold",C75)),"hold",
ISNUMBER(SEARCH("youth",C75)),"youth",
ISNUMBER(SEARCH("juve",C75)),"youth",
OR(ISNUMBER(SEARCH("health",B75)),ISNUMBER(SEARCH("care ",B75)),ISNUMBER(SEARCH("psych",B75)),ISNUMBER(SEARCH("medical",B75)),ISNUMBER(SEARCH("hospital",B75))),"medical",
ISNUMBER(SEARCH("correct",B75)),"correctional",
ISNUMBER(SEARCH("process",B75)),"processing",
ISNUMBER(SEARCH("detention center",B75)),"detention",
ISNUMBER(SEARCH("detention fac",B75)),"detention",
ISNUMBER(SEARCH("staging",B75)),"staging",
ISNUMBER(SEARCH("prison",B75)),"prison",
ISNUMBER(SEARCH("penet",B75)),"prison",
ISNUMBER(SEARCH("jail",B75)),"jail",
ISNUMBER(SEARCH("detention",B75)),"detention",
ISNUMBER(SEARCH("sheriff",B75)),"sheriff/police",
ISNUMBER(SEARCH("police",B75)),"sheriff/police",
TRUE,""
)</f>
        <v/>
      </c>
      <c r="H75">
        <f>INDEX(Sheet2!B:B,MATCH(C75,Sheet2!A:A,0),1)</f>
        <v>38</v>
      </c>
      <c r="I75">
        <f>3-COUNTBLANK(D75:F75)</f>
        <v>1</v>
      </c>
      <c r="J75">
        <f>IF(I75&gt;=2,H75,0)</f>
        <v>0</v>
      </c>
    </row>
    <row r="76" spans="1:10" x14ac:dyDescent="0.3">
      <c r="A76" t="s">
        <v>1973</v>
      </c>
      <c r="B76" t="s">
        <v>1975</v>
      </c>
      <c r="C76" t="s">
        <v>1721</v>
      </c>
      <c r="D76" t="s">
        <v>121</v>
      </c>
      <c r="F76" t="s">
        <v>2508</v>
      </c>
      <c r="G76" t="str" cm="1">
        <f t="array" ref="G76">_xlfn.IFS(
ISNUMBER(SEARCH("hold",C76)),"hold",
ISNUMBER(SEARCH("youth",C76)),"youth",
ISNUMBER(SEARCH("juve",C76)),"youth",
OR(ISNUMBER(SEARCH("health",B76)),ISNUMBER(SEARCH("care ",B76)),ISNUMBER(SEARCH("psych",B76)),ISNUMBER(SEARCH("medical",B76)),ISNUMBER(SEARCH("hospital",B76))),"medical",
ISNUMBER(SEARCH("correct",B76)),"correctional",
ISNUMBER(SEARCH("process",B76)),"processing",
ISNUMBER(SEARCH("detention center",B76)),"detention",
ISNUMBER(SEARCH("detention fac",B76)),"detention",
ISNUMBER(SEARCH("staging",B76)),"staging",
ISNUMBER(SEARCH("prison",B76)),"prison",
ISNUMBER(SEARCH("penet",B76)),"prison",
ISNUMBER(SEARCH("jail",B76)),"jail",
ISNUMBER(SEARCH("detention",B76)),"detention",
ISNUMBER(SEARCH("sheriff",B76)),"sheriff/police",
ISNUMBER(SEARCH("police",B76)),"sheriff/police",
TRUE,""
)</f>
        <v>hold</v>
      </c>
      <c r="H76">
        <f>INDEX(Sheet2!B:B,MATCH(C76,Sheet2!A:A,0),1)</f>
        <v>5868</v>
      </c>
      <c r="I76">
        <f>3-COUNTBLANK(D76:F76)</f>
        <v>2</v>
      </c>
      <c r="J76">
        <f>IF(I76&gt;=2,H76,0)</f>
        <v>5868</v>
      </c>
    </row>
    <row r="77" spans="1:10" x14ac:dyDescent="0.3">
      <c r="A77" t="s">
        <v>1801</v>
      </c>
      <c r="B77" t="s">
        <v>1590</v>
      </c>
      <c r="C77" t="s">
        <v>1591</v>
      </c>
      <c r="D77" t="s">
        <v>31</v>
      </c>
      <c r="G77" t="str" cm="1">
        <f t="array" ref="G77">_xlfn.IFS(
ISNUMBER(SEARCH("hold",C77)),"hold",
ISNUMBER(SEARCH("youth",C77)),"youth",
ISNUMBER(SEARCH("juve",C77)),"youth",
OR(ISNUMBER(SEARCH("health",B77)),ISNUMBER(SEARCH("care ",B77)),ISNUMBER(SEARCH("psych",B77)),ISNUMBER(SEARCH("medical",B77)),ISNUMBER(SEARCH("hospital",B77))),"medical",
ISNUMBER(SEARCH("correct",B77)),"correctional",
ISNUMBER(SEARCH("process",B77)),"processing",
ISNUMBER(SEARCH("detention center",B77)),"detention",
ISNUMBER(SEARCH("detention fac",B77)),"detention",
ISNUMBER(SEARCH("staging",B77)),"staging",
ISNUMBER(SEARCH("prison",B77)),"prison",
ISNUMBER(SEARCH("penet",B77)),"prison",
ISNUMBER(SEARCH("jail",B77)),"jail",
ISNUMBER(SEARCH("detention",B77)),"detention",
ISNUMBER(SEARCH("sheriff",B77)),"sheriff/police",
ISNUMBER(SEARCH("police",B77)),"sheriff/police",
TRUE,""
)</f>
        <v>processing</v>
      </c>
      <c r="H77">
        <f>INDEX(Sheet2!B:B,MATCH(C77,Sheet2!A:A,0),1)</f>
        <v>5782</v>
      </c>
      <c r="I77">
        <f>3-COUNTBLANK(D77:F77)</f>
        <v>1</v>
      </c>
      <c r="J77">
        <f>IF(I77&gt;=2,H77,0)</f>
        <v>0</v>
      </c>
    </row>
    <row r="78" spans="1:10" x14ac:dyDescent="0.3">
      <c r="A78" t="s">
        <v>1804</v>
      </c>
      <c r="B78" t="s">
        <v>1205</v>
      </c>
      <c r="C78" t="s">
        <v>1206</v>
      </c>
      <c r="D78" t="s">
        <v>87</v>
      </c>
      <c r="E78" t="s">
        <v>2509</v>
      </c>
      <c r="G78" t="str" cm="1">
        <f t="array" ref="G78">_xlfn.IFS(
ISNUMBER(SEARCH("hold",C78)),"hold",
ISNUMBER(SEARCH("youth",C78)),"youth",
ISNUMBER(SEARCH("juve",C78)),"youth",
OR(ISNUMBER(SEARCH("health",B78)),ISNUMBER(SEARCH("care ",B78)),ISNUMBER(SEARCH("psych",B78)),ISNUMBER(SEARCH("medical",B78)),ISNUMBER(SEARCH("hospital",B78))),"medical",
ISNUMBER(SEARCH("correct",B78)),"correctional",
ISNUMBER(SEARCH("process",B78)),"processing",
ISNUMBER(SEARCH("detention center",B78)),"detention",
ISNUMBER(SEARCH("detention fac",B78)),"detention",
ISNUMBER(SEARCH("staging",B78)),"staging",
ISNUMBER(SEARCH("prison",B78)),"prison",
ISNUMBER(SEARCH("penet",B78)),"prison",
ISNUMBER(SEARCH("jail",B78)),"jail",
ISNUMBER(SEARCH("detention",B78)),"detention",
ISNUMBER(SEARCH("sheriff",B78)),"sheriff/police",
ISNUMBER(SEARCH("police",B78)),"sheriff/police",
TRUE,""
)</f>
        <v>hold</v>
      </c>
      <c r="H78">
        <f>INDEX(Sheet2!B:B,MATCH(C78,Sheet2!A:A,0),1)</f>
        <v>5557</v>
      </c>
      <c r="I78">
        <f>3-COUNTBLANK(D78:F78)</f>
        <v>2</v>
      </c>
      <c r="J78">
        <f>IF(I78&gt;=2,H78,0)</f>
        <v>5557</v>
      </c>
    </row>
    <row r="79" spans="1:10" x14ac:dyDescent="0.3">
      <c r="A79" t="s">
        <v>1807</v>
      </c>
      <c r="B79" t="s">
        <v>1597</v>
      </c>
      <c r="C79" t="s">
        <v>1598</v>
      </c>
      <c r="D79" t="s">
        <v>159</v>
      </c>
      <c r="F79" t="s">
        <v>1599</v>
      </c>
      <c r="G79" t="str" cm="1">
        <f t="array" ref="G79">_xlfn.IFS(
ISNUMBER(SEARCH("hold",C79)),"hold",
ISNUMBER(SEARCH("youth",C79)),"youth",
ISNUMBER(SEARCH("juve",C79)),"youth",
OR(ISNUMBER(SEARCH("health",B79)),ISNUMBER(SEARCH("care ",B79)),ISNUMBER(SEARCH("psych",B79)),ISNUMBER(SEARCH("medical",B79)),ISNUMBER(SEARCH("hospital",B79))),"medical",
ISNUMBER(SEARCH("correct",B79)),"correctional",
ISNUMBER(SEARCH("process",B79)),"processing",
ISNUMBER(SEARCH("detention center",B79)),"detention",
ISNUMBER(SEARCH("detention fac",B79)),"detention",
ISNUMBER(SEARCH("staging",B79)),"staging",
ISNUMBER(SEARCH("prison",B79)),"prison",
ISNUMBER(SEARCH("penet",B79)),"prison",
ISNUMBER(SEARCH("jail",B79)),"jail",
ISNUMBER(SEARCH("detention",B79)),"detention",
ISNUMBER(SEARCH("sheriff",B79)),"sheriff/police",
ISNUMBER(SEARCH("police",B79)),"sheriff/police",
TRUE,""
)</f>
        <v>detention</v>
      </c>
      <c r="H79">
        <f>INDEX(Sheet2!B:B,MATCH(C79,Sheet2!A:A,0),1)</f>
        <v>5347</v>
      </c>
      <c r="I79">
        <f>3-COUNTBLANK(D79:F79)</f>
        <v>2</v>
      </c>
      <c r="J79">
        <f>IF(I79&gt;=2,H79,0)</f>
        <v>5347</v>
      </c>
    </row>
    <row r="80" spans="1:10" x14ac:dyDescent="0.3">
      <c r="A80" t="s">
        <v>1810</v>
      </c>
      <c r="B80" t="s">
        <v>1732</v>
      </c>
      <c r="C80" t="s">
        <v>1733</v>
      </c>
      <c r="D80" t="s">
        <v>112</v>
      </c>
      <c r="E80" t="s">
        <v>2449</v>
      </c>
      <c r="G80" t="str" cm="1">
        <f t="array" ref="G80">_xlfn.IFS(
ISNUMBER(SEARCH("hold",C80)),"hold",
ISNUMBER(SEARCH("youth",C80)),"youth",
ISNUMBER(SEARCH("juve",C80)),"youth",
OR(ISNUMBER(SEARCH("health",B80)),ISNUMBER(SEARCH("care ",B80)),ISNUMBER(SEARCH("psych",B80)),ISNUMBER(SEARCH("medical",B80)),ISNUMBER(SEARCH("hospital",B80))),"medical",
ISNUMBER(SEARCH("correct",B80)),"correctional",
ISNUMBER(SEARCH("process",B80)),"processing",
ISNUMBER(SEARCH("detention center",B80)),"detention",
ISNUMBER(SEARCH("detention fac",B80)),"detention",
ISNUMBER(SEARCH("staging",B80)),"staging",
ISNUMBER(SEARCH("prison",B80)),"prison",
ISNUMBER(SEARCH("penet",B80)),"prison",
ISNUMBER(SEARCH("jail",B80)),"jail",
ISNUMBER(SEARCH("detention",B80)),"detention",
ISNUMBER(SEARCH("sheriff",B80)),"sheriff/police",
ISNUMBER(SEARCH("police",B80)),"sheriff/police",
TRUE,""
)</f>
        <v>hold</v>
      </c>
      <c r="H80">
        <f>INDEX(Sheet2!B:B,MATCH(C80,Sheet2!A:A,0),1)</f>
        <v>5250</v>
      </c>
      <c r="I80">
        <f>3-COUNTBLANK(D80:F80)</f>
        <v>2</v>
      </c>
      <c r="J80">
        <f>IF(I80&gt;=2,H80,0)</f>
        <v>5250</v>
      </c>
    </row>
    <row r="81" spans="1:10" x14ac:dyDescent="0.3">
      <c r="A81" t="s">
        <v>69</v>
      </c>
      <c r="B81" t="s">
        <v>1658</v>
      </c>
      <c r="C81" t="s">
        <v>1659</v>
      </c>
      <c r="D81" t="s">
        <v>59</v>
      </c>
      <c r="E81" t="s">
        <v>2229</v>
      </c>
      <c r="G81" t="str" cm="1">
        <f t="array" ref="G81">_xlfn.IFS(
ISNUMBER(SEARCH("hold",C81)),"hold",
ISNUMBER(SEARCH("youth",C81)),"youth",
ISNUMBER(SEARCH("juve",C81)),"youth",
OR(ISNUMBER(SEARCH("health",B81)),ISNUMBER(SEARCH("care ",B81)),ISNUMBER(SEARCH("psych",B81)),ISNUMBER(SEARCH("medical",B81)),ISNUMBER(SEARCH("hospital",B81))),"medical",
ISNUMBER(SEARCH("correct",B81)),"correctional",
ISNUMBER(SEARCH("process",B81)),"processing",
ISNUMBER(SEARCH("detention center",B81)),"detention",
ISNUMBER(SEARCH("detention fac",B81)),"detention",
ISNUMBER(SEARCH("staging",B81)),"staging",
ISNUMBER(SEARCH("prison",B81)),"prison",
ISNUMBER(SEARCH("penet",B81)),"prison",
ISNUMBER(SEARCH("jail",B81)),"jail",
ISNUMBER(SEARCH("detention",B81)),"detention",
ISNUMBER(SEARCH("sheriff",B81)),"sheriff/police",
ISNUMBER(SEARCH("police",B81)),"sheriff/police",
TRUE,""
)</f>
        <v/>
      </c>
      <c r="H81">
        <f>INDEX(Sheet2!B:B,MATCH(C81,Sheet2!A:A,0),1)</f>
        <v>2029</v>
      </c>
      <c r="I81">
        <f>3-COUNTBLANK(D81:F81)</f>
        <v>2</v>
      </c>
      <c r="J81">
        <f>IF(I81&gt;=2,H81,0)</f>
        <v>2029</v>
      </c>
    </row>
    <row r="82" spans="1:10" x14ac:dyDescent="0.3">
      <c r="A82" t="s">
        <v>1817</v>
      </c>
      <c r="B82" t="s">
        <v>1052</v>
      </c>
      <c r="C82" t="s">
        <v>1053</v>
      </c>
      <c r="D82" t="s">
        <v>6</v>
      </c>
      <c r="F82" t="s">
        <v>2349</v>
      </c>
      <c r="G82" t="str" cm="1">
        <f t="array" ref="G82">_xlfn.IFS(
ISNUMBER(SEARCH("hold",C82)),"hold",
ISNUMBER(SEARCH("youth",C82)),"youth",
ISNUMBER(SEARCH("juve",C82)),"youth",
OR(ISNUMBER(SEARCH("health",B82)),ISNUMBER(SEARCH("care ",B82)),ISNUMBER(SEARCH("psych",B82)),ISNUMBER(SEARCH("medical",B82)),ISNUMBER(SEARCH("hospital",B82))),"medical",
ISNUMBER(SEARCH("correct",B82)),"correctional",
ISNUMBER(SEARCH("process",B82)),"processing",
ISNUMBER(SEARCH("detention center",B82)),"detention",
ISNUMBER(SEARCH("detention fac",B82)),"detention",
ISNUMBER(SEARCH("staging",B82)),"staging",
ISNUMBER(SEARCH("prison",B82)),"prison",
ISNUMBER(SEARCH("penet",B82)),"prison",
ISNUMBER(SEARCH("jail",B82)),"jail",
ISNUMBER(SEARCH("detention",B82)),"detention",
ISNUMBER(SEARCH("sheriff",B82)),"sheriff/police",
ISNUMBER(SEARCH("police",B82)),"sheriff/police",
TRUE,""
)</f>
        <v>jail</v>
      </c>
      <c r="H82">
        <f>INDEX(Sheet2!B:B,MATCH(C82,Sheet2!A:A,0),1)</f>
        <v>4710</v>
      </c>
      <c r="I82">
        <f>3-COUNTBLANK(D82:F82)</f>
        <v>2</v>
      </c>
      <c r="J82">
        <f>IF(I82&gt;=2,H82,0)</f>
        <v>4710</v>
      </c>
    </row>
    <row r="83" spans="1:10" x14ac:dyDescent="0.3">
      <c r="A83" t="s">
        <v>1829</v>
      </c>
      <c r="B83" t="s">
        <v>289</v>
      </c>
      <c r="C83" t="s">
        <v>290</v>
      </c>
      <c r="D83" t="s">
        <v>59</v>
      </c>
      <c r="G83" t="str" cm="1">
        <f t="array" ref="G83">_xlfn.IFS(
ISNUMBER(SEARCH("hold",C83)),"hold",
ISNUMBER(SEARCH("youth",C83)),"youth",
ISNUMBER(SEARCH("juve",C83)),"youth",
OR(ISNUMBER(SEARCH("health",B83)),ISNUMBER(SEARCH("care ",B83)),ISNUMBER(SEARCH("psych",B83)),ISNUMBER(SEARCH("medical",B83)),ISNUMBER(SEARCH("hospital",B83))),"medical",
ISNUMBER(SEARCH("correct",B83)),"correctional",
ISNUMBER(SEARCH("process",B83)),"processing",
ISNUMBER(SEARCH("detention center",B83)),"detention",
ISNUMBER(SEARCH("detention fac",B83)),"detention",
ISNUMBER(SEARCH("staging",B83)),"staging",
ISNUMBER(SEARCH("prison",B83)),"prison",
ISNUMBER(SEARCH("penet",B83)),"prison",
ISNUMBER(SEARCH("jail",B83)),"jail",
ISNUMBER(SEARCH("detention",B83)),"detention",
ISNUMBER(SEARCH("sheriff",B83)),"sheriff/police",
ISNUMBER(SEARCH("police",B83)),"sheriff/police",
TRUE,""
)</f>
        <v>processing</v>
      </c>
      <c r="H83">
        <f>INDEX(Sheet2!B:B,MATCH(C83,Sheet2!A:A,0),1)</f>
        <v>4687</v>
      </c>
      <c r="I83">
        <f>3-COUNTBLANK(D83:F83)</f>
        <v>1</v>
      </c>
      <c r="J83">
        <f>IF(I83&gt;=2,H83,0)</f>
        <v>0</v>
      </c>
    </row>
    <row r="84" spans="1:10" x14ac:dyDescent="0.3">
      <c r="A84" t="s">
        <v>1832</v>
      </c>
      <c r="B84" t="s">
        <v>957</v>
      </c>
      <c r="C84" t="s">
        <v>958</v>
      </c>
      <c r="D84" t="s">
        <v>174</v>
      </c>
      <c r="E84" t="s">
        <v>2450</v>
      </c>
      <c r="G84" t="str" cm="1">
        <f t="array" ref="G84">_xlfn.IFS(
ISNUMBER(SEARCH("hold",C84)),"hold",
ISNUMBER(SEARCH("youth",C84)),"youth",
ISNUMBER(SEARCH("juve",C84)),"youth",
OR(ISNUMBER(SEARCH("health",B84)),ISNUMBER(SEARCH("care ",B84)),ISNUMBER(SEARCH("psych",B84)),ISNUMBER(SEARCH("medical",B84)),ISNUMBER(SEARCH("hospital",B84))),"medical",
ISNUMBER(SEARCH("correct",B84)),"correctional",
ISNUMBER(SEARCH("process",B84)),"processing",
ISNUMBER(SEARCH("detention center",B84)),"detention",
ISNUMBER(SEARCH("detention fac",B84)),"detention",
ISNUMBER(SEARCH("staging",B84)),"staging",
ISNUMBER(SEARCH("prison",B84)),"prison",
ISNUMBER(SEARCH("penet",B84)),"prison",
ISNUMBER(SEARCH("jail",B84)),"jail",
ISNUMBER(SEARCH("detention",B84)),"detention",
ISNUMBER(SEARCH("sheriff",B84)),"sheriff/police",
ISNUMBER(SEARCH("police",B84)),"sheriff/police",
TRUE,""
)</f>
        <v>hold</v>
      </c>
      <c r="H84">
        <f>INDEX(Sheet2!B:B,MATCH(C84,Sheet2!A:A,0),1)</f>
        <v>4511</v>
      </c>
      <c r="I84">
        <f>3-COUNTBLANK(D84:F84)</f>
        <v>2</v>
      </c>
      <c r="J84">
        <f>IF(I84&gt;=2,H84,0)</f>
        <v>4511</v>
      </c>
    </row>
    <row r="85" spans="1:10" x14ac:dyDescent="0.3">
      <c r="A85" t="s">
        <v>1835</v>
      </c>
      <c r="B85" t="s">
        <v>93</v>
      </c>
      <c r="C85" t="s">
        <v>94</v>
      </c>
      <c r="D85" t="s">
        <v>95</v>
      </c>
      <c r="G85" t="str" cm="1">
        <f t="array" ref="G85">_xlfn.IFS(
ISNUMBER(SEARCH("hold",C85)),"hold",
ISNUMBER(SEARCH("youth",C85)),"youth",
ISNUMBER(SEARCH("juve",C85)),"youth",
OR(ISNUMBER(SEARCH("health",B85)),ISNUMBER(SEARCH("care ",B85)),ISNUMBER(SEARCH("psych",B85)),ISNUMBER(SEARCH("medical",B85)),ISNUMBER(SEARCH("hospital",B85))),"medical",
ISNUMBER(SEARCH("correct",B85)),"correctional",
ISNUMBER(SEARCH("process",B85)),"processing",
ISNUMBER(SEARCH("detention center",B85)),"detention",
ISNUMBER(SEARCH("detention fac",B85)),"detention",
ISNUMBER(SEARCH("staging",B85)),"staging",
ISNUMBER(SEARCH("prison",B85)),"prison",
ISNUMBER(SEARCH("penet",B85)),"prison",
ISNUMBER(SEARCH("jail",B85)),"jail",
ISNUMBER(SEARCH("detention",B85)),"detention",
ISNUMBER(SEARCH("sheriff",B85)),"sheriff/police",
ISNUMBER(SEARCH("police",B85)),"sheriff/police",
TRUE,""
)</f>
        <v>detention</v>
      </c>
      <c r="H85">
        <f>INDEX(Sheet2!B:B,MATCH(C85,Sheet2!A:A,0),1)</f>
        <v>4475</v>
      </c>
      <c r="I85">
        <f>3-COUNTBLANK(D85:F85)</f>
        <v>1</v>
      </c>
      <c r="J85">
        <f>IF(I85&gt;=2,H85,0)</f>
        <v>0</v>
      </c>
    </row>
    <row r="86" spans="1:10" x14ac:dyDescent="0.3">
      <c r="A86" t="s">
        <v>1838</v>
      </c>
      <c r="B86" t="s">
        <v>1682</v>
      </c>
      <c r="C86" t="s">
        <v>1683</v>
      </c>
      <c r="D86" t="s">
        <v>108</v>
      </c>
      <c r="E86" t="s">
        <v>2418</v>
      </c>
      <c r="G86" t="str" cm="1">
        <f t="array" ref="G86">_xlfn.IFS(
ISNUMBER(SEARCH("hold",C86)),"hold",
ISNUMBER(SEARCH("youth",C86)),"youth",
ISNUMBER(SEARCH("juve",C86)),"youth",
OR(ISNUMBER(SEARCH("health",B86)),ISNUMBER(SEARCH("care ",B86)),ISNUMBER(SEARCH("psych",B86)),ISNUMBER(SEARCH("medical",B86)),ISNUMBER(SEARCH("hospital",B86))),"medical",
ISNUMBER(SEARCH("correct",B86)),"correctional",
ISNUMBER(SEARCH("process",B86)),"processing",
ISNUMBER(SEARCH("detention center",B86)),"detention",
ISNUMBER(SEARCH("detention fac",B86)),"detention",
ISNUMBER(SEARCH("staging",B86)),"staging",
ISNUMBER(SEARCH("prison",B86)),"prison",
ISNUMBER(SEARCH("penet",B86)),"prison",
ISNUMBER(SEARCH("jail",B86)),"jail",
ISNUMBER(SEARCH("detention",B86)),"detention",
ISNUMBER(SEARCH("sheriff",B86)),"sheriff/police",
ISNUMBER(SEARCH("police",B86)),"sheriff/police",
TRUE,""
)</f>
        <v>hold</v>
      </c>
      <c r="H86">
        <f>INDEX(Sheet2!B:B,MATCH(C86,Sheet2!A:A,0),1)</f>
        <v>4334</v>
      </c>
      <c r="I86">
        <f>3-COUNTBLANK(D86:F86)</f>
        <v>2</v>
      </c>
      <c r="J86">
        <f>IF(I86&gt;=2,H86,0)</f>
        <v>4334</v>
      </c>
    </row>
    <row r="87" spans="1:10" x14ac:dyDescent="0.3">
      <c r="A87" t="s">
        <v>1841</v>
      </c>
      <c r="B87" t="s">
        <v>1805</v>
      </c>
      <c r="C87" t="s">
        <v>1806</v>
      </c>
      <c r="D87" t="s">
        <v>50</v>
      </c>
      <c r="G87" t="str" cm="1">
        <f t="array" ref="G87">_xlfn.IFS(
ISNUMBER(SEARCH("hold",C87)),"hold",
ISNUMBER(SEARCH("youth",C87)),"youth",
ISNUMBER(SEARCH("juve",C87)),"youth",
OR(ISNUMBER(SEARCH("health",B87)),ISNUMBER(SEARCH("care ",B87)),ISNUMBER(SEARCH("psych",B87)),ISNUMBER(SEARCH("medical",B87)),ISNUMBER(SEARCH("hospital",B87))),"medical",
ISNUMBER(SEARCH("correct",B87)),"correctional",
ISNUMBER(SEARCH("process",B87)),"processing",
ISNUMBER(SEARCH("detention center",B87)),"detention",
ISNUMBER(SEARCH("detention fac",B87)),"detention",
ISNUMBER(SEARCH("staging",B87)),"staging",
ISNUMBER(SEARCH("prison",B87)),"prison",
ISNUMBER(SEARCH("penet",B87)),"prison",
ISNUMBER(SEARCH("jail",B87)),"jail",
ISNUMBER(SEARCH("detention",B87)),"detention",
ISNUMBER(SEARCH("sheriff",B87)),"sheriff/police",
ISNUMBER(SEARCH("police",B87)),"sheriff/police",
TRUE,""
)</f>
        <v>detention</v>
      </c>
      <c r="H87">
        <f>INDEX(Sheet2!B:B,MATCH(C87,Sheet2!A:A,0),1)</f>
        <v>4277</v>
      </c>
      <c r="I87">
        <f>3-COUNTBLANK(D87:F87)</f>
        <v>1</v>
      </c>
      <c r="J87">
        <f>IF(I87&gt;=2,H87,0)</f>
        <v>0</v>
      </c>
    </row>
    <row r="88" spans="1:10" x14ac:dyDescent="0.3">
      <c r="A88" t="s">
        <v>1844</v>
      </c>
      <c r="B88" t="s">
        <v>793</v>
      </c>
      <c r="C88" t="s">
        <v>794</v>
      </c>
      <c r="D88" t="s">
        <v>6</v>
      </c>
      <c r="E88" t="s">
        <v>442</v>
      </c>
      <c r="G88" t="str" cm="1">
        <f t="array" ref="G88">_xlfn.IFS(
ISNUMBER(SEARCH("hold",C88)),"hold",
ISNUMBER(SEARCH("youth",C88)),"youth",
ISNUMBER(SEARCH("juve",C88)),"youth",
OR(ISNUMBER(SEARCH("health",B88)),ISNUMBER(SEARCH("care ",B88)),ISNUMBER(SEARCH("psych",B88)),ISNUMBER(SEARCH("medical",B88)),ISNUMBER(SEARCH("hospital",B88))),"medical",
ISNUMBER(SEARCH("correct",B88)),"correctional",
ISNUMBER(SEARCH("process",B88)),"processing",
ISNUMBER(SEARCH("detention center",B88)),"detention",
ISNUMBER(SEARCH("detention fac",B88)),"detention",
ISNUMBER(SEARCH("staging",B88)),"staging",
ISNUMBER(SEARCH("prison",B88)),"prison",
ISNUMBER(SEARCH("penet",B88)),"prison",
ISNUMBER(SEARCH("jail",B88)),"jail",
ISNUMBER(SEARCH("detention",B88)),"detention",
ISNUMBER(SEARCH("sheriff",B88)),"sheriff/police",
ISNUMBER(SEARCH("police",B88)),"sheriff/police",
TRUE,""
)</f>
        <v>hold</v>
      </c>
      <c r="H88">
        <f>INDEX(Sheet2!B:B,MATCH(C88,Sheet2!A:A,0),1)</f>
        <v>4273</v>
      </c>
      <c r="I88">
        <f>3-COUNTBLANK(D88:F88)</f>
        <v>2</v>
      </c>
      <c r="J88">
        <f>IF(I88&gt;=2,H88,0)</f>
        <v>4273</v>
      </c>
    </row>
    <row r="89" spans="1:10" x14ac:dyDescent="0.3">
      <c r="A89" t="s">
        <v>1847</v>
      </c>
      <c r="B89" t="s">
        <v>970</v>
      </c>
      <c r="C89" t="s">
        <v>971</v>
      </c>
      <c r="D89" t="s">
        <v>6</v>
      </c>
      <c r="F89" t="s">
        <v>2340</v>
      </c>
      <c r="G89" t="str" cm="1">
        <f t="array" ref="G89">_xlfn.IFS(
ISNUMBER(SEARCH("hold",C89)),"hold",
ISNUMBER(SEARCH("youth",C89)),"youth",
ISNUMBER(SEARCH("juve",C89)),"youth",
OR(ISNUMBER(SEARCH("health",B89)),ISNUMBER(SEARCH("care ",B89)),ISNUMBER(SEARCH("psych",B89)),ISNUMBER(SEARCH("medical",B89)),ISNUMBER(SEARCH("hospital",B89))),"medical",
ISNUMBER(SEARCH("correct",B89)),"correctional",
ISNUMBER(SEARCH("process",B89)),"processing",
ISNUMBER(SEARCH("detention center",B89)),"detention",
ISNUMBER(SEARCH("detention fac",B89)),"detention",
ISNUMBER(SEARCH("staging",B89)),"staging",
ISNUMBER(SEARCH("prison",B89)),"prison",
ISNUMBER(SEARCH("penet",B89)),"prison",
ISNUMBER(SEARCH("jail",B89)),"jail",
ISNUMBER(SEARCH("detention",B89)),"detention",
ISNUMBER(SEARCH("sheriff",B89)),"sheriff/police",
ISNUMBER(SEARCH("police",B89)),"sheriff/police",
TRUE,""
)</f>
        <v>jail</v>
      </c>
      <c r="H89">
        <f>INDEX(Sheet2!B:B,MATCH(C89,Sheet2!A:A,0),1)</f>
        <v>4092</v>
      </c>
      <c r="I89">
        <f>3-COUNTBLANK(D89:F89)</f>
        <v>2</v>
      </c>
      <c r="J89">
        <f>IF(I89&gt;=2,H89,0)</f>
        <v>4092</v>
      </c>
    </row>
    <row r="90" spans="1:10" x14ac:dyDescent="0.3">
      <c r="A90" t="s">
        <v>1850</v>
      </c>
      <c r="B90" t="s">
        <v>1406</v>
      </c>
      <c r="C90" t="s">
        <v>1407</v>
      </c>
      <c r="D90" t="s">
        <v>174</v>
      </c>
      <c r="F90" t="s">
        <v>2305</v>
      </c>
      <c r="G90" t="str" cm="1">
        <f t="array" ref="G90">_xlfn.IFS(
ISNUMBER(SEARCH("hold",C90)),"hold",
ISNUMBER(SEARCH("youth",C90)),"youth",
ISNUMBER(SEARCH("juve",C90)),"youth",
OR(ISNUMBER(SEARCH("health",B90)),ISNUMBER(SEARCH("care ",B90)),ISNUMBER(SEARCH("psych",B90)),ISNUMBER(SEARCH("medical",B90)),ISNUMBER(SEARCH("hospital",B90))),"medical",
ISNUMBER(SEARCH("correct",B90)),"correctional",
ISNUMBER(SEARCH("process",B90)),"processing",
ISNUMBER(SEARCH("detention center",B90)),"detention",
ISNUMBER(SEARCH("detention fac",B90)),"detention",
ISNUMBER(SEARCH("staging",B90)),"staging",
ISNUMBER(SEARCH("prison",B90)),"prison",
ISNUMBER(SEARCH("penet",B90)),"prison",
ISNUMBER(SEARCH("jail",B90)),"jail",
ISNUMBER(SEARCH("detention",B90)),"detention",
ISNUMBER(SEARCH("sheriff",B90)),"sheriff/police",
ISNUMBER(SEARCH("police",B90)),"sheriff/police",
TRUE,""
)</f>
        <v>jail</v>
      </c>
      <c r="H90">
        <f>INDEX(Sheet2!B:B,MATCH(C90,Sheet2!A:A,0),1)</f>
        <v>4065</v>
      </c>
      <c r="I90">
        <f>3-COUNTBLANK(D90:F90)</f>
        <v>2</v>
      </c>
      <c r="J90">
        <f>IF(I90&gt;=2,H90,0)</f>
        <v>4065</v>
      </c>
    </row>
    <row r="91" spans="1:10" x14ac:dyDescent="0.3">
      <c r="A91" t="s">
        <v>1368</v>
      </c>
      <c r="B91" t="s">
        <v>2561</v>
      </c>
      <c r="C91" t="s">
        <v>1452</v>
      </c>
      <c r="G91" t="str" cm="1">
        <f t="array" ref="G91">_xlfn.IFS(
ISNUMBER(SEARCH("hold",C91)),"hold",
ISNUMBER(SEARCH("youth",C91)),"youth",
ISNUMBER(SEARCH("juve",C91)),"youth",
OR(ISNUMBER(SEARCH("health",B91)),ISNUMBER(SEARCH("care ",B91)),ISNUMBER(SEARCH("psych",B91)),ISNUMBER(SEARCH("medical",B91)),ISNUMBER(SEARCH("hospital",B91))),"medical",
ISNUMBER(SEARCH("correct",B91)),"correctional",
ISNUMBER(SEARCH("process",B91)),"processing",
ISNUMBER(SEARCH("detention center",B91)),"detention",
ISNUMBER(SEARCH("detention fac",B91)),"detention",
ISNUMBER(SEARCH("staging",B91)),"staging",
ISNUMBER(SEARCH("prison",B91)),"prison",
ISNUMBER(SEARCH("penet",B91)),"prison",
ISNUMBER(SEARCH("jail",B91)),"jail",
ISNUMBER(SEARCH("detention",B91)),"detention",
ISNUMBER(SEARCH("sheriff",B91)),"sheriff/police",
ISNUMBER(SEARCH("police",B91)),"sheriff/police",
TRUE,""
)</f>
        <v>prison</v>
      </c>
      <c r="H91">
        <f>INDEX(Sheet2!B:B,MATCH(C91,Sheet2!A:A,0),1)</f>
        <v>2</v>
      </c>
      <c r="I91">
        <f>3-COUNTBLANK(D91:F91)</f>
        <v>0</v>
      </c>
      <c r="J91">
        <f>IF(I91&gt;=2,H91,0)</f>
        <v>0</v>
      </c>
    </row>
    <row r="92" spans="1:10" x14ac:dyDescent="0.3">
      <c r="A92" t="s">
        <v>1855</v>
      </c>
      <c r="B92" t="s">
        <v>1939</v>
      </c>
      <c r="C92" t="s">
        <v>1940</v>
      </c>
      <c r="D92" t="s">
        <v>72</v>
      </c>
      <c r="E92" t="s">
        <v>2510</v>
      </c>
      <c r="G92" t="str" cm="1">
        <f t="array" ref="G92">_xlfn.IFS(
ISNUMBER(SEARCH("hold",C92)),"hold",
ISNUMBER(SEARCH("youth",C92)),"youth",
ISNUMBER(SEARCH("juve",C92)),"youth",
OR(ISNUMBER(SEARCH("health",B92)),ISNUMBER(SEARCH("care ",B92)),ISNUMBER(SEARCH("psych",B92)),ISNUMBER(SEARCH("medical",B92)),ISNUMBER(SEARCH("hospital",B92))),"medical",
ISNUMBER(SEARCH("correct",B92)),"correctional",
ISNUMBER(SEARCH("process",B92)),"processing",
ISNUMBER(SEARCH("detention center",B92)),"detention",
ISNUMBER(SEARCH("detention fac",B92)),"detention",
ISNUMBER(SEARCH("staging",B92)),"staging",
ISNUMBER(SEARCH("prison",B92)),"prison",
ISNUMBER(SEARCH("penet",B92)),"prison",
ISNUMBER(SEARCH("jail",B92)),"jail",
ISNUMBER(SEARCH("detention",B92)),"detention",
ISNUMBER(SEARCH("sheriff",B92)),"sheriff/police",
ISNUMBER(SEARCH("police",B92)),"sheriff/police",
TRUE,""
)</f>
        <v>detention</v>
      </c>
      <c r="H92">
        <f>INDEX(Sheet2!B:B,MATCH(C92,Sheet2!A:A,0),1)</f>
        <v>3945</v>
      </c>
      <c r="I92">
        <f>3-COUNTBLANK(D92:F92)</f>
        <v>2</v>
      </c>
      <c r="J92">
        <f>IF(I92&gt;=2,H92,0)</f>
        <v>3945</v>
      </c>
    </row>
    <row r="93" spans="1:10" x14ac:dyDescent="0.3">
      <c r="A93" t="s">
        <v>1858</v>
      </c>
      <c r="B93" t="s">
        <v>161</v>
      </c>
      <c r="C93" t="s">
        <v>162</v>
      </c>
      <c r="D93" t="s">
        <v>72</v>
      </c>
      <c r="G93" t="str" cm="1">
        <f t="array" ref="G93">_xlfn.IFS(
ISNUMBER(SEARCH("hold",C93)),"hold",
ISNUMBER(SEARCH("youth",C93)),"youth",
ISNUMBER(SEARCH("juve",C93)),"youth",
OR(ISNUMBER(SEARCH("health",B93)),ISNUMBER(SEARCH("care ",B93)),ISNUMBER(SEARCH("psych",B93)),ISNUMBER(SEARCH("medical",B93)),ISNUMBER(SEARCH("hospital",B93))),"medical",
ISNUMBER(SEARCH("correct",B93)),"correctional",
ISNUMBER(SEARCH("process",B93)),"processing",
ISNUMBER(SEARCH("detention center",B93)),"detention",
ISNUMBER(SEARCH("detention fac",B93)),"detention",
ISNUMBER(SEARCH("staging",B93)),"staging",
ISNUMBER(SEARCH("prison",B93)),"prison",
ISNUMBER(SEARCH("penet",B93)),"prison",
ISNUMBER(SEARCH("jail",B93)),"jail",
ISNUMBER(SEARCH("detention",B93)),"detention",
ISNUMBER(SEARCH("sheriff",B93)),"sheriff/police",
ISNUMBER(SEARCH("police",B93)),"sheriff/police",
TRUE,""
)</f>
        <v>detention</v>
      </c>
      <c r="H93">
        <f>INDEX(Sheet2!B:B,MATCH(C93,Sheet2!A:A,0),1)</f>
        <v>3826</v>
      </c>
      <c r="I93">
        <f>3-COUNTBLANK(D93:F93)</f>
        <v>1</v>
      </c>
      <c r="J93">
        <f>IF(I93&gt;=2,H93,0)</f>
        <v>0</v>
      </c>
    </row>
    <row r="94" spans="1:10" x14ac:dyDescent="0.3">
      <c r="A94" t="s">
        <v>1861</v>
      </c>
      <c r="B94" t="s">
        <v>573</v>
      </c>
      <c r="C94" t="s">
        <v>574</v>
      </c>
      <c r="D94" t="s">
        <v>204</v>
      </c>
      <c r="F94" t="s">
        <v>2248</v>
      </c>
      <c r="G94" t="str" cm="1">
        <f t="array" ref="G94">_xlfn.IFS(
ISNUMBER(SEARCH("hold",C94)),"hold",
ISNUMBER(SEARCH("youth",C94)),"youth",
ISNUMBER(SEARCH("juve",C94)),"youth",
OR(ISNUMBER(SEARCH("health",B94)),ISNUMBER(SEARCH("care ",B94)),ISNUMBER(SEARCH("psych",B94)),ISNUMBER(SEARCH("medical",B94)),ISNUMBER(SEARCH("hospital",B94))),"medical",
ISNUMBER(SEARCH("correct",B94)),"correctional",
ISNUMBER(SEARCH("process",B94)),"processing",
ISNUMBER(SEARCH("detention center",B94)),"detention",
ISNUMBER(SEARCH("detention fac",B94)),"detention",
ISNUMBER(SEARCH("staging",B94)),"staging",
ISNUMBER(SEARCH("prison",B94)),"prison",
ISNUMBER(SEARCH("penet",B94)),"prison",
ISNUMBER(SEARCH("jail",B94)),"jail",
ISNUMBER(SEARCH("detention",B94)),"detention",
ISNUMBER(SEARCH("sheriff",B94)),"sheriff/police",
ISNUMBER(SEARCH("police",B94)),"sheriff/police",
TRUE,""
)</f>
        <v>detention</v>
      </c>
      <c r="H94">
        <f>INDEX(Sheet2!B:B,MATCH(C94,Sheet2!A:A,0),1)</f>
        <v>3785</v>
      </c>
      <c r="I94">
        <f>3-COUNTBLANK(D94:F94)</f>
        <v>2</v>
      </c>
      <c r="J94">
        <f>IF(I94&gt;=2,H94,0)</f>
        <v>3785</v>
      </c>
    </row>
    <row r="95" spans="1:10" x14ac:dyDescent="0.3">
      <c r="A95" t="s">
        <v>1864</v>
      </c>
      <c r="B95" t="s">
        <v>70</v>
      </c>
      <c r="C95" t="s">
        <v>71</v>
      </c>
      <c r="D95" t="s">
        <v>72</v>
      </c>
      <c r="F95" t="s">
        <v>74</v>
      </c>
      <c r="G95" t="str" cm="1">
        <f t="array" ref="G95">_xlfn.IFS(
ISNUMBER(SEARCH("hold",C95)),"hold",
ISNUMBER(SEARCH("youth",C95)),"youth",
ISNUMBER(SEARCH("juve",C95)),"youth",
OR(ISNUMBER(SEARCH("health",B95)),ISNUMBER(SEARCH("care ",B95)),ISNUMBER(SEARCH("psych",B95)),ISNUMBER(SEARCH("medical",B95)),ISNUMBER(SEARCH("hospital",B95))),"medical",
ISNUMBER(SEARCH("correct",B95)),"correctional",
ISNUMBER(SEARCH("process",B95)),"processing",
ISNUMBER(SEARCH("detention center",B95)),"detention",
ISNUMBER(SEARCH("detention fac",B95)),"detention",
ISNUMBER(SEARCH("staging",B95)),"staging",
ISNUMBER(SEARCH("prison",B95)),"prison",
ISNUMBER(SEARCH("penet",B95)),"prison",
ISNUMBER(SEARCH("jail",B95)),"jail",
ISNUMBER(SEARCH("detention",B95)),"detention",
ISNUMBER(SEARCH("sheriff",B95)),"sheriff/police",
ISNUMBER(SEARCH("police",B95)),"sheriff/police",
TRUE,""
)</f>
        <v>jail</v>
      </c>
      <c r="H95">
        <f>INDEX(Sheet2!B:B,MATCH(C95,Sheet2!A:A,0),1)</f>
        <v>3777</v>
      </c>
      <c r="I95">
        <f>3-COUNTBLANK(D95:F95)</f>
        <v>2</v>
      </c>
      <c r="J95">
        <f>IF(I95&gt;=2,H95,0)</f>
        <v>3777</v>
      </c>
    </row>
    <row r="96" spans="1:10" x14ac:dyDescent="0.3">
      <c r="A96" t="s">
        <v>1867</v>
      </c>
      <c r="B96" t="s">
        <v>1676</v>
      </c>
      <c r="C96" t="s">
        <v>1677</v>
      </c>
      <c r="G96" t="str" cm="1">
        <f t="array" ref="G96">_xlfn.IFS(
ISNUMBER(SEARCH("hold",C96)),"hold",
ISNUMBER(SEARCH("youth",C96)),"youth",
ISNUMBER(SEARCH("juve",C96)),"youth",
OR(ISNUMBER(SEARCH("health",B96)),ISNUMBER(SEARCH("care ",B96)),ISNUMBER(SEARCH("psych",B96)),ISNUMBER(SEARCH("medical",B96)),ISNUMBER(SEARCH("hospital",B96))),"medical",
ISNUMBER(SEARCH("correct",B96)),"correctional",
ISNUMBER(SEARCH("process",B96)),"processing",
ISNUMBER(SEARCH("detention center",B96)),"detention",
ISNUMBER(SEARCH("detention fac",B96)),"detention",
ISNUMBER(SEARCH("staging",B96)),"staging",
ISNUMBER(SEARCH("prison",B96)),"prison",
ISNUMBER(SEARCH("penet",B96)),"prison",
ISNUMBER(SEARCH("jail",B96)),"jail",
ISNUMBER(SEARCH("detention",B96)),"detention",
ISNUMBER(SEARCH("sheriff",B96)),"sheriff/police",
ISNUMBER(SEARCH("police",B96)),"sheriff/police",
TRUE,""
)</f>
        <v>hold</v>
      </c>
      <c r="H96">
        <f>INDEX(Sheet2!B:B,MATCH(C96,Sheet2!A:A,0),1)</f>
        <v>3725</v>
      </c>
      <c r="I96">
        <f>3-COUNTBLANK(D96:F96)</f>
        <v>0</v>
      </c>
      <c r="J96">
        <f>IF(I96&gt;=2,H96,0)</f>
        <v>0</v>
      </c>
    </row>
    <row r="97" spans="1:10" x14ac:dyDescent="0.3">
      <c r="A97" t="s">
        <v>1870</v>
      </c>
      <c r="B97" t="s">
        <v>2011</v>
      </c>
      <c r="C97" t="s">
        <v>1234</v>
      </c>
      <c r="G97" t="str" cm="1">
        <f t="array" ref="G97">_xlfn.IFS(
ISNUMBER(SEARCH("hold",C97)),"hold",
ISNUMBER(SEARCH("youth",C97)),"youth",
ISNUMBER(SEARCH("juve",C97)),"youth",
OR(ISNUMBER(SEARCH("health",B97)),ISNUMBER(SEARCH("care ",B97)),ISNUMBER(SEARCH("psych",B97)),ISNUMBER(SEARCH("medical",B97)),ISNUMBER(SEARCH("hospital",B97))),"medical",
ISNUMBER(SEARCH("correct",B97)),"correctional",
ISNUMBER(SEARCH("process",B97)),"processing",
ISNUMBER(SEARCH("detention center",B97)),"detention",
ISNUMBER(SEARCH("detention fac",B97)),"detention",
ISNUMBER(SEARCH("staging",B97)),"staging",
ISNUMBER(SEARCH("prison",B97)),"prison",
ISNUMBER(SEARCH("penet",B97)),"prison",
ISNUMBER(SEARCH("jail",B97)),"jail",
ISNUMBER(SEARCH("detention",B97)),"detention",
ISNUMBER(SEARCH("sheriff",B97)),"sheriff/police",
ISNUMBER(SEARCH("police",B97)),"sheriff/police",
TRUE,""
)</f>
        <v>hold</v>
      </c>
      <c r="H97">
        <f>INDEX(Sheet2!B:B,MATCH(C97,Sheet2!A:A,0),1)</f>
        <v>3724</v>
      </c>
      <c r="I97">
        <f>3-COUNTBLANK(D97:F97)</f>
        <v>0</v>
      </c>
      <c r="J97">
        <f>IF(I97&gt;=2,H97,0)</f>
        <v>0</v>
      </c>
    </row>
    <row r="98" spans="1:10" x14ac:dyDescent="0.3">
      <c r="A98" t="s">
        <v>1874</v>
      </c>
      <c r="B98" t="s">
        <v>1909</v>
      </c>
      <c r="C98" t="s">
        <v>1910</v>
      </c>
      <c r="D98" t="s">
        <v>152</v>
      </c>
      <c r="F98" t="s">
        <v>2260</v>
      </c>
      <c r="G98" t="str" cm="1">
        <f t="array" ref="G98">_xlfn.IFS(
ISNUMBER(SEARCH("hold",C98)),"hold",
ISNUMBER(SEARCH("youth",C98)),"youth",
ISNUMBER(SEARCH("juve",C98)),"youth",
OR(ISNUMBER(SEARCH("health",B98)),ISNUMBER(SEARCH("care ",B98)),ISNUMBER(SEARCH("psych",B98)),ISNUMBER(SEARCH("medical",B98)),ISNUMBER(SEARCH("hospital",B98))),"medical",
ISNUMBER(SEARCH("correct",B98)),"correctional",
ISNUMBER(SEARCH("process",B98)),"processing",
ISNUMBER(SEARCH("detention center",B98)),"detention",
ISNUMBER(SEARCH("detention fac",B98)),"detention",
ISNUMBER(SEARCH("staging",B98)),"staging",
ISNUMBER(SEARCH("prison",B98)),"prison",
ISNUMBER(SEARCH("penet",B98)),"prison",
ISNUMBER(SEARCH("jail",B98)),"jail",
ISNUMBER(SEARCH("detention",B98)),"detention",
ISNUMBER(SEARCH("sheriff",B98)),"sheriff/police",
ISNUMBER(SEARCH("police",B98)),"sheriff/police",
TRUE,""
)</f>
        <v>correctional</v>
      </c>
      <c r="H98">
        <f>INDEX(Sheet2!B:B,MATCH(C98,Sheet2!A:A,0),1)</f>
        <v>3685</v>
      </c>
      <c r="I98">
        <f>3-COUNTBLANK(D98:F98)</f>
        <v>2</v>
      </c>
      <c r="J98">
        <f>IF(I98&gt;=2,H98,0)</f>
        <v>3685</v>
      </c>
    </row>
    <row r="99" spans="1:10" x14ac:dyDescent="0.3">
      <c r="A99" t="s">
        <v>813</v>
      </c>
      <c r="B99" t="s">
        <v>2566</v>
      </c>
      <c r="C99" t="s">
        <v>876</v>
      </c>
      <c r="D99" t="s">
        <v>141</v>
      </c>
      <c r="G99" t="str" cm="1">
        <f t="array" ref="G99">_xlfn.IFS(
ISNUMBER(SEARCH("hold",C99)),"hold",
ISNUMBER(SEARCH("youth",C99)),"youth",
ISNUMBER(SEARCH("juve",C99)),"youth",
OR(ISNUMBER(SEARCH("health",B99)),ISNUMBER(SEARCH("care ",B99)),ISNUMBER(SEARCH("psych",B99)),ISNUMBER(SEARCH("medical",B99)),ISNUMBER(SEARCH("hospital",B99))),"medical",
ISNUMBER(SEARCH("correct",B99)),"correctional",
ISNUMBER(SEARCH("process",B99)),"processing",
ISNUMBER(SEARCH("detention center",B99)),"detention",
ISNUMBER(SEARCH("detention fac",B99)),"detention",
ISNUMBER(SEARCH("staging",B99)),"staging",
ISNUMBER(SEARCH("prison",B99)),"prison",
ISNUMBER(SEARCH("penet",B99)),"prison",
ISNUMBER(SEARCH("jail",B99)),"jail",
ISNUMBER(SEARCH("detention",B99)),"detention",
ISNUMBER(SEARCH("sheriff",B99)),"sheriff/police",
ISNUMBER(SEARCH("police",B99)),"sheriff/police",
TRUE,""
)</f>
        <v>correctional</v>
      </c>
      <c r="H99">
        <f>INDEX(Sheet2!B:B,MATCH(C99,Sheet2!A:A,0),1)</f>
        <v>120</v>
      </c>
      <c r="I99">
        <f>3-COUNTBLANK(D99:F99)</f>
        <v>1</v>
      </c>
      <c r="J99">
        <f>IF(I99&gt;=2,H99,0)</f>
        <v>0</v>
      </c>
    </row>
    <row r="100" spans="1:10" x14ac:dyDescent="0.3">
      <c r="A100" t="s">
        <v>1880</v>
      </c>
      <c r="B100" t="s">
        <v>1447</v>
      </c>
      <c r="C100" t="s">
        <v>1448</v>
      </c>
      <c r="D100" t="s">
        <v>72</v>
      </c>
      <c r="G100" t="str" cm="1">
        <f t="array" ref="G100">_xlfn.IFS(
ISNUMBER(SEARCH("hold",C100)),"hold",
ISNUMBER(SEARCH("youth",C100)),"youth",
ISNUMBER(SEARCH("juve",C100)),"youth",
OR(ISNUMBER(SEARCH("health",B100)),ISNUMBER(SEARCH("care ",B100)),ISNUMBER(SEARCH("psych",B100)),ISNUMBER(SEARCH("medical",B100)),ISNUMBER(SEARCH("hospital",B100))),"medical",
ISNUMBER(SEARCH("correct",B100)),"correctional",
ISNUMBER(SEARCH("process",B100)),"processing",
ISNUMBER(SEARCH("detention center",B100)),"detention",
ISNUMBER(SEARCH("detention fac",B100)),"detention",
ISNUMBER(SEARCH("staging",B100)),"staging",
ISNUMBER(SEARCH("prison",B100)),"prison",
ISNUMBER(SEARCH("penet",B100)),"prison",
ISNUMBER(SEARCH("jail",B100)),"jail",
ISNUMBER(SEARCH("detention",B100)),"detention",
ISNUMBER(SEARCH("sheriff",B100)),"sheriff/police",
ISNUMBER(SEARCH("police",B100)),"sheriff/police",
TRUE,""
)</f>
        <v>processing</v>
      </c>
      <c r="H100">
        <f>INDEX(Sheet2!B:B,MATCH(C100,Sheet2!A:A,0),1)</f>
        <v>3485</v>
      </c>
      <c r="I100">
        <f>3-COUNTBLANK(D100:F100)</f>
        <v>1</v>
      </c>
      <c r="J100">
        <f>IF(I100&gt;=2,H100,0)</f>
        <v>0</v>
      </c>
    </row>
    <row r="101" spans="1:10" x14ac:dyDescent="0.3">
      <c r="A101" t="s">
        <v>1883</v>
      </c>
      <c r="B101" t="s">
        <v>1868</v>
      </c>
      <c r="C101" t="s">
        <v>1869</v>
      </c>
      <c r="D101" t="s">
        <v>159</v>
      </c>
      <c r="E101" t="s">
        <v>2292</v>
      </c>
      <c r="G101" t="str" cm="1">
        <f t="array" ref="G101">_xlfn.IFS(
ISNUMBER(SEARCH("hold",C101)),"hold",
ISNUMBER(SEARCH("youth",C101)),"youth",
ISNUMBER(SEARCH("juve",C101)),"youth",
OR(ISNUMBER(SEARCH("health",B101)),ISNUMBER(SEARCH("care ",B101)),ISNUMBER(SEARCH("psych",B101)),ISNUMBER(SEARCH("medical",B101)),ISNUMBER(SEARCH("hospital",B101))),"medical",
ISNUMBER(SEARCH("correct",B101)),"correctional",
ISNUMBER(SEARCH("process",B101)),"processing",
ISNUMBER(SEARCH("detention center",B101)),"detention",
ISNUMBER(SEARCH("detention fac",B101)),"detention",
ISNUMBER(SEARCH("staging",B101)),"staging",
ISNUMBER(SEARCH("prison",B101)),"prison",
ISNUMBER(SEARCH("penet",B101)),"prison",
ISNUMBER(SEARCH("jail",B101)),"jail",
ISNUMBER(SEARCH("detention",B101)),"detention",
ISNUMBER(SEARCH("sheriff",B101)),"sheriff/police",
ISNUMBER(SEARCH("police",B101)),"sheriff/police",
TRUE,""
)</f>
        <v>hold</v>
      </c>
      <c r="H101">
        <f>INDEX(Sheet2!B:B,MATCH(C101,Sheet2!A:A,0),1)</f>
        <v>3406</v>
      </c>
      <c r="I101">
        <f>3-COUNTBLANK(D101:F101)</f>
        <v>2</v>
      </c>
      <c r="J101">
        <f>IF(I101&gt;=2,H101,0)</f>
        <v>3406</v>
      </c>
    </row>
    <row r="102" spans="1:10" x14ac:dyDescent="0.3">
      <c r="A102" t="s">
        <v>1887</v>
      </c>
      <c r="B102" t="s">
        <v>1042</v>
      </c>
      <c r="C102" t="s">
        <v>1043</v>
      </c>
      <c r="D102" t="s">
        <v>185</v>
      </c>
      <c r="F102" t="s">
        <v>2428</v>
      </c>
      <c r="G102" t="str" cm="1">
        <f t="array" ref="G102">_xlfn.IFS(
ISNUMBER(SEARCH("hold",C102)),"hold",
ISNUMBER(SEARCH("youth",C102)),"youth",
ISNUMBER(SEARCH("juve",C102)),"youth",
OR(ISNUMBER(SEARCH("health",B102)),ISNUMBER(SEARCH("care ",B102)),ISNUMBER(SEARCH("psych",B102)),ISNUMBER(SEARCH("medical",B102)),ISNUMBER(SEARCH("hospital",B102))),"medical",
ISNUMBER(SEARCH("correct",B102)),"correctional",
ISNUMBER(SEARCH("process",B102)),"processing",
ISNUMBER(SEARCH("detention center",B102)),"detention",
ISNUMBER(SEARCH("detention fac",B102)),"detention",
ISNUMBER(SEARCH("staging",B102)),"staging",
ISNUMBER(SEARCH("prison",B102)),"prison",
ISNUMBER(SEARCH("penet",B102)),"prison",
ISNUMBER(SEARCH("jail",B102)),"jail",
ISNUMBER(SEARCH("detention",B102)),"detention",
ISNUMBER(SEARCH("sheriff",B102)),"sheriff/police",
ISNUMBER(SEARCH("police",B102)),"sheriff/police",
TRUE,""
)</f>
        <v>jail</v>
      </c>
      <c r="H102">
        <f>INDEX(Sheet2!B:B,MATCH(C102,Sheet2!A:A,0),1)</f>
        <v>3256</v>
      </c>
      <c r="I102">
        <f>3-COUNTBLANK(D102:F102)</f>
        <v>2</v>
      </c>
      <c r="J102">
        <f>IF(I102&gt;=2,H102,0)</f>
        <v>3256</v>
      </c>
    </row>
    <row r="103" spans="1:10" x14ac:dyDescent="0.3">
      <c r="A103" t="s">
        <v>1466</v>
      </c>
      <c r="B103" t="s">
        <v>127</v>
      </c>
      <c r="C103" t="s">
        <v>128</v>
      </c>
      <c r="G103" t="str" cm="1">
        <f t="array" ref="G103">_xlfn.IFS(
ISNUMBER(SEARCH("hold",C103)),"hold",
ISNUMBER(SEARCH("youth",C103)),"youth",
ISNUMBER(SEARCH("juve",C103)),"youth",
OR(ISNUMBER(SEARCH("health",B103)),ISNUMBER(SEARCH("care ",B103)),ISNUMBER(SEARCH("psych",B103)),ISNUMBER(SEARCH("medical",B103)),ISNUMBER(SEARCH("hospital",B103))),"medical",
ISNUMBER(SEARCH("correct",B103)),"correctional",
ISNUMBER(SEARCH("process",B103)),"processing",
ISNUMBER(SEARCH("detention center",B103)),"detention",
ISNUMBER(SEARCH("detention fac",B103)),"detention",
ISNUMBER(SEARCH("staging",B103)),"staging",
ISNUMBER(SEARCH("prison",B103)),"prison",
ISNUMBER(SEARCH("penet",B103)),"prison",
ISNUMBER(SEARCH("jail",B103)),"jail",
ISNUMBER(SEARCH("detention",B103)),"detention",
ISNUMBER(SEARCH("sheriff",B103)),"sheriff/police",
ISNUMBER(SEARCH("police",B103)),"sheriff/police",
TRUE,""
)</f>
        <v/>
      </c>
      <c r="H103">
        <f>INDEX(Sheet2!B:B,MATCH(C103,Sheet2!A:A,0),1)</f>
        <v>1</v>
      </c>
      <c r="I103">
        <f>3-COUNTBLANK(D103:F103)</f>
        <v>0</v>
      </c>
      <c r="J103">
        <f>IF(I103&gt;=2,H103,0)</f>
        <v>0</v>
      </c>
    </row>
    <row r="104" spans="1:10" x14ac:dyDescent="0.3">
      <c r="A104" t="s">
        <v>1893</v>
      </c>
      <c r="B104" t="s">
        <v>967</v>
      </c>
      <c r="C104" t="s">
        <v>968</v>
      </c>
      <c r="G104" t="str" cm="1">
        <f t="array" ref="G104">_xlfn.IFS(
ISNUMBER(SEARCH("hold",C104)),"hold",
ISNUMBER(SEARCH("youth",C104)),"youth",
ISNUMBER(SEARCH("juve",C104)),"youth",
OR(ISNUMBER(SEARCH("health",B104)),ISNUMBER(SEARCH("care ",B104)),ISNUMBER(SEARCH("psych",B104)),ISNUMBER(SEARCH("medical",B104)),ISNUMBER(SEARCH("hospital",B104))),"medical",
ISNUMBER(SEARCH("correct",B104)),"correctional",
ISNUMBER(SEARCH("process",B104)),"processing",
ISNUMBER(SEARCH("detention center",B104)),"detention",
ISNUMBER(SEARCH("detention fac",B104)),"detention",
ISNUMBER(SEARCH("staging",B104)),"staging",
ISNUMBER(SEARCH("prison",B104)),"prison",
ISNUMBER(SEARCH("penet",B104)),"prison",
ISNUMBER(SEARCH("jail",B104)),"jail",
ISNUMBER(SEARCH("detention",B104)),"detention",
ISNUMBER(SEARCH("sheriff",B104)),"sheriff/police",
ISNUMBER(SEARCH("police",B104)),"sheriff/police",
TRUE,""
)</f>
        <v>hold</v>
      </c>
      <c r="H104">
        <f>INDEX(Sheet2!B:B,MATCH(C104,Sheet2!A:A,0),1)</f>
        <v>3138</v>
      </c>
      <c r="I104">
        <f>3-COUNTBLANK(D104:F104)</f>
        <v>0</v>
      </c>
      <c r="J104">
        <f>IF(I104&gt;=2,H104,0)</f>
        <v>0</v>
      </c>
    </row>
    <row r="105" spans="1:10" x14ac:dyDescent="0.3">
      <c r="A105" t="s">
        <v>1896</v>
      </c>
      <c r="B105" t="s">
        <v>1471</v>
      </c>
      <c r="C105" t="s">
        <v>1472</v>
      </c>
      <c r="G105" t="str" cm="1">
        <f t="array" ref="G105">_xlfn.IFS(
ISNUMBER(SEARCH("hold",C105)),"hold",
ISNUMBER(SEARCH("youth",C105)),"youth",
ISNUMBER(SEARCH("juve",C105)),"youth",
OR(ISNUMBER(SEARCH("health",B105)),ISNUMBER(SEARCH("care ",B105)),ISNUMBER(SEARCH("psych",B105)),ISNUMBER(SEARCH("medical",B105)),ISNUMBER(SEARCH("hospital",B105))),"medical",
ISNUMBER(SEARCH("correct",B105)),"correctional",
ISNUMBER(SEARCH("process",B105)),"processing",
ISNUMBER(SEARCH("detention center",B105)),"detention",
ISNUMBER(SEARCH("detention fac",B105)),"detention",
ISNUMBER(SEARCH("staging",B105)),"staging",
ISNUMBER(SEARCH("prison",B105)),"prison",
ISNUMBER(SEARCH("penet",B105)),"prison",
ISNUMBER(SEARCH("jail",B105)),"jail",
ISNUMBER(SEARCH("detention",B105)),"detention",
ISNUMBER(SEARCH("sheriff",B105)),"sheriff/police",
ISNUMBER(SEARCH("police",B105)),"sheriff/police",
TRUE,""
)</f>
        <v>hold</v>
      </c>
      <c r="H105">
        <f>INDEX(Sheet2!B:B,MATCH(C105,Sheet2!A:A,0),1)</f>
        <v>3081</v>
      </c>
      <c r="I105">
        <f>3-COUNTBLANK(D105:F105)</f>
        <v>0</v>
      </c>
      <c r="J105">
        <f>IF(I105&gt;=2,H105,0)</f>
        <v>0</v>
      </c>
    </row>
    <row r="106" spans="1:10" x14ac:dyDescent="0.3">
      <c r="A106" t="s">
        <v>1899</v>
      </c>
      <c r="B106" t="s">
        <v>866</v>
      </c>
      <c r="C106" t="s">
        <v>867</v>
      </c>
      <c r="G106" t="str" cm="1">
        <f t="array" ref="G106">_xlfn.IFS(
ISNUMBER(SEARCH("hold",C106)),"hold",
ISNUMBER(SEARCH("youth",C106)),"youth",
ISNUMBER(SEARCH("juve",C106)),"youth",
OR(ISNUMBER(SEARCH("health",B106)),ISNUMBER(SEARCH("care ",B106)),ISNUMBER(SEARCH("psych",B106)),ISNUMBER(SEARCH("medical",B106)),ISNUMBER(SEARCH("hospital",B106))),"medical",
ISNUMBER(SEARCH("correct",B106)),"correctional",
ISNUMBER(SEARCH("process",B106)),"processing",
ISNUMBER(SEARCH("detention center",B106)),"detention",
ISNUMBER(SEARCH("detention fac",B106)),"detention",
ISNUMBER(SEARCH("staging",B106)),"staging",
ISNUMBER(SEARCH("prison",B106)),"prison",
ISNUMBER(SEARCH("penet",B106)),"prison",
ISNUMBER(SEARCH("jail",B106)),"jail",
ISNUMBER(SEARCH("detention",B106)),"detention",
ISNUMBER(SEARCH("sheriff",B106)),"sheriff/police",
ISNUMBER(SEARCH("police",B106)),"sheriff/police",
TRUE,""
)</f>
        <v>hold</v>
      </c>
      <c r="H106">
        <f>INDEX(Sheet2!B:B,MATCH(C106,Sheet2!A:A,0),1)</f>
        <v>3050</v>
      </c>
      <c r="I106">
        <f>3-COUNTBLANK(D106:F106)</f>
        <v>0</v>
      </c>
      <c r="J106">
        <f>IF(I106&gt;=2,H106,0)</f>
        <v>0</v>
      </c>
    </row>
    <row r="107" spans="1:10" x14ac:dyDescent="0.3">
      <c r="A107" t="s">
        <v>1902</v>
      </c>
      <c r="B107" t="s">
        <v>229</v>
      </c>
      <c r="C107" t="s">
        <v>230</v>
      </c>
      <c r="D107" t="s">
        <v>10</v>
      </c>
      <c r="F107" t="s">
        <v>2309</v>
      </c>
      <c r="G107" t="str" cm="1">
        <f t="array" ref="G107">_xlfn.IFS(
ISNUMBER(SEARCH("hold",C107)),"hold",
ISNUMBER(SEARCH("youth",C107)),"youth",
ISNUMBER(SEARCH("juve",C107)),"youth",
OR(ISNUMBER(SEARCH("health",B107)),ISNUMBER(SEARCH("care ",B107)),ISNUMBER(SEARCH("psych",B107)),ISNUMBER(SEARCH("medical",B107)),ISNUMBER(SEARCH("hospital",B107))),"medical",
ISNUMBER(SEARCH("correct",B107)),"correctional",
ISNUMBER(SEARCH("process",B107)),"processing",
ISNUMBER(SEARCH("detention center",B107)),"detention",
ISNUMBER(SEARCH("detention fac",B107)),"detention",
ISNUMBER(SEARCH("staging",B107)),"staging",
ISNUMBER(SEARCH("prison",B107)),"prison",
ISNUMBER(SEARCH("penet",B107)),"prison",
ISNUMBER(SEARCH("jail",B107)),"jail",
ISNUMBER(SEARCH("detention",B107)),"detention",
ISNUMBER(SEARCH("sheriff",B107)),"sheriff/police",
ISNUMBER(SEARCH("police",B107)),"sheriff/police",
TRUE,""
)</f>
        <v>jail</v>
      </c>
      <c r="H107">
        <f>INDEX(Sheet2!B:B,MATCH(C107,Sheet2!A:A,0),1)</f>
        <v>3050</v>
      </c>
      <c r="I107">
        <f>3-COUNTBLANK(D107:F107)</f>
        <v>2</v>
      </c>
      <c r="J107">
        <f>IF(I107&gt;=2,H107,0)</f>
        <v>3050</v>
      </c>
    </row>
    <row r="108" spans="1:10" x14ac:dyDescent="0.3">
      <c r="A108" t="s">
        <v>1905</v>
      </c>
      <c r="B108" t="s">
        <v>1729</v>
      </c>
      <c r="C108" t="s">
        <v>1730</v>
      </c>
      <c r="D108" t="s">
        <v>82</v>
      </c>
      <c r="F108" t="s">
        <v>2281</v>
      </c>
      <c r="G108" t="str" cm="1">
        <f t="array" ref="G108">_xlfn.IFS(
ISNUMBER(SEARCH("hold",C108)),"hold",
ISNUMBER(SEARCH("youth",C108)),"youth",
ISNUMBER(SEARCH("juve",C108)),"youth",
OR(ISNUMBER(SEARCH("health",B108)),ISNUMBER(SEARCH("care ",B108)),ISNUMBER(SEARCH("psych",B108)),ISNUMBER(SEARCH("medical",B108)),ISNUMBER(SEARCH("hospital",B108))),"medical",
ISNUMBER(SEARCH("correct",B108)),"correctional",
ISNUMBER(SEARCH("process",B108)),"processing",
ISNUMBER(SEARCH("detention center",B108)),"detention",
ISNUMBER(SEARCH("detention fac",B108)),"detention",
ISNUMBER(SEARCH("staging",B108)),"staging",
ISNUMBER(SEARCH("prison",B108)),"prison",
ISNUMBER(SEARCH("penet",B108)),"prison",
ISNUMBER(SEARCH("jail",B108)),"jail",
ISNUMBER(SEARCH("detention",B108)),"detention",
ISNUMBER(SEARCH("sheriff",B108)),"sheriff/police",
ISNUMBER(SEARCH("police",B108)),"sheriff/police",
TRUE,""
)</f>
        <v>jail</v>
      </c>
      <c r="H108">
        <f>INDEX(Sheet2!B:B,MATCH(C108,Sheet2!A:A,0),1)</f>
        <v>2949</v>
      </c>
      <c r="I108">
        <f>3-COUNTBLANK(D108:F108)</f>
        <v>2</v>
      </c>
      <c r="J108">
        <f>IF(I108&gt;=2,H108,0)</f>
        <v>2949</v>
      </c>
    </row>
    <row r="109" spans="1:10" x14ac:dyDescent="0.3">
      <c r="A109" t="s">
        <v>1908</v>
      </c>
      <c r="B109" t="s">
        <v>1216</v>
      </c>
      <c r="C109" t="s">
        <v>1217</v>
      </c>
      <c r="D109" t="s">
        <v>31</v>
      </c>
      <c r="E109" t="s">
        <v>2255</v>
      </c>
      <c r="G109" t="str" cm="1">
        <f t="array" ref="G109">_xlfn.IFS(
ISNUMBER(SEARCH("hold",C109)),"hold",
ISNUMBER(SEARCH("youth",C109)),"youth",
ISNUMBER(SEARCH("juve",C109)),"youth",
OR(ISNUMBER(SEARCH("health",B109)),ISNUMBER(SEARCH("care ",B109)),ISNUMBER(SEARCH("psych",B109)),ISNUMBER(SEARCH("medical",B109)),ISNUMBER(SEARCH("hospital",B109))),"medical",
ISNUMBER(SEARCH("correct",B109)),"correctional",
ISNUMBER(SEARCH("process",B109)),"processing",
ISNUMBER(SEARCH("detention center",B109)),"detention",
ISNUMBER(SEARCH("detention fac",B109)),"detention",
ISNUMBER(SEARCH("staging",B109)),"staging",
ISNUMBER(SEARCH("prison",B109)),"prison",
ISNUMBER(SEARCH("penet",B109)),"prison",
ISNUMBER(SEARCH("jail",B109)),"jail",
ISNUMBER(SEARCH("detention",B109)),"detention",
ISNUMBER(SEARCH("sheriff",B109)),"sheriff/police",
ISNUMBER(SEARCH("police",B109)),"sheriff/police",
TRUE,""
)</f>
        <v>hold</v>
      </c>
      <c r="H109">
        <f>INDEX(Sheet2!B:B,MATCH(C109,Sheet2!A:A,0),1)</f>
        <v>2938</v>
      </c>
      <c r="I109">
        <f>3-COUNTBLANK(D109:F109)</f>
        <v>2</v>
      </c>
      <c r="J109">
        <f>IF(I109&gt;=2,H109,0)</f>
        <v>2938</v>
      </c>
    </row>
    <row r="110" spans="1:10" x14ac:dyDescent="0.3">
      <c r="A110" t="s">
        <v>503</v>
      </c>
      <c r="B110" t="s">
        <v>2560</v>
      </c>
      <c r="C110" t="s">
        <v>404</v>
      </c>
      <c r="D110" t="s">
        <v>189</v>
      </c>
      <c r="E110" t="s">
        <v>2527</v>
      </c>
      <c r="G110" t="str" cm="1">
        <f t="array" ref="G110">_xlfn.IFS(
ISNUMBER(SEARCH("hold",C110)),"hold",
ISNUMBER(SEARCH("youth",C110)),"youth",
ISNUMBER(SEARCH("juve",C110)),"youth",
OR(ISNUMBER(SEARCH("health",B110)),ISNUMBER(SEARCH("care ",B110)),ISNUMBER(SEARCH("psych",B110)),ISNUMBER(SEARCH("medical",B110)),ISNUMBER(SEARCH("hospital",B110))),"medical",
ISNUMBER(SEARCH("correct",B110)),"correctional",
ISNUMBER(SEARCH("process",B110)),"processing",
ISNUMBER(SEARCH("detention center",B110)),"detention",
ISNUMBER(SEARCH("detention fac",B110)),"detention",
ISNUMBER(SEARCH("staging",B110)),"staging",
ISNUMBER(SEARCH("prison",B110)),"prison",
ISNUMBER(SEARCH("penet",B110)),"prison",
ISNUMBER(SEARCH("jail",B110)),"jail",
ISNUMBER(SEARCH("detention",B110)),"detention",
ISNUMBER(SEARCH("sheriff",B110)),"sheriff/police",
ISNUMBER(SEARCH("police",B110)),"sheriff/police",
TRUE,""
)</f>
        <v>detention</v>
      </c>
      <c r="H110">
        <f>INDEX(Sheet2!B:B,MATCH(C110,Sheet2!A:A,0),1)</f>
        <v>388</v>
      </c>
      <c r="I110">
        <f>3-COUNTBLANK(D110:F110)</f>
        <v>2</v>
      </c>
      <c r="J110">
        <f>IF(I110&gt;=2,H110,0)</f>
        <v>388</v>
      </c>
    </row>
    <row r="111" spans="1:10" x14ac:dyDescent="0.3">
      <c r="A111" t="s">
        <v>1913</v>
      </c>
      <c r="B111" t="s">
        <v>775</v>
      </c>
      <c r="C111" t="s">
        <v>776</v>
      </c>
      <c r="D111" t="s">
        <v>204</v>
      </c>
      <c r="E111" t="s">
        <v>2443</v>
      </c>
      <c r="G111" t="str" cm="1">
        <f t="array" ref="G111">_xlfn.IFS(
ISNUMBER(SEARCH("hold",C111)),"hold",
ISNUMBER(SEARCH("youth",C111)),"youth",
ISNUMBER(SEARCH("juve",C111)),"youth",
OR(ISNUMBER(SEARCH("health",B111)),ISNUMBER(SEARCH("care ",B111)),ISNUMBER(SEARCH("psych",B111)),ISNUMBER(SEARCH("medical",B111)),ISNUMBER(SEARCH("hospital",B111))),"medical",
ISNUMBER(SEARCH("correct",B111)),"correctional",
ISNUMBER(SEARCH("process",B111)),"processing",
ISNUMBER(SEARCH("detention center",B111)),"detention",
ISNUMBER(SEARCH("detention fac",B111)),"detention",
ISNUMBER(SEARCH("staging",B111)),"staging",
ISNUMBER(SEARCH("prison",B111)),"prison",
ISNUMBER(SEARCH("penet",B111)),"prison",
ISNUMBER(SEARCH("jail",B111)),"jail",
ISNUMBER(SEARCH("detention",B111)),"detention",
ISNUMBER(SEARCH("sheriff",B111)),"sheriff/police",
ISNUMBER(SEARCH("police",B111)),"sheriff/police",
TRUE,""
)</f>
        <v>hold</v>
      </c>
      <c r="H111">
        <f>INDEX(Sheet2!B:B,MATCH(C111,Sheet2!A:A,0),1)</f>
        <v>2857</v>
      </c>
      <c r="I111">
        <f>3-COUNTBLANK(D111:F111)</f>
        <v>2</v>
      </c>
      <c r="J111">
        <f>IF(I111&gt;=2,H111,0)</f>
        <v>2857</v>
      </c>
    </row>
    <row r="112" spans="1:10" x14ac:dyDescent="0.3">
      <c r="A112" t="s">
        <v>1916</v>
      </c>
      <c r="B112" t="s">
        <v>1914</v>
      </c>
      <c r="C112" t="s">
        <v>1915</v>
      </c>
      <c r="G112" t="str" cm="1">
        <f t="array" ref="G112">_xlfn.IFS(
ISNUMBER(SEARCH("hold",C112)),"hold",
ISNUMBER(SEARCH("youth",C112)),"youth",
ISNUMBER(SEARCH("juve",C112)),"youth",
OR(ISNUMBER(SEARCH("health",B112)),ISNUMBER(SEARCH("care ",B112)),ISNUMBER(SEARCH("psych",B112)),ISNUMBER(SEARCH("medical",B112)),ISNUMBER(SEARCH("hospital",B112))),"medical",
ISNUMBER(SEARCH("correct",B112)),"correctional",
ISNUMBER(SEARCH("process",B112)),"processing",
ISNUMBER(SEARCH("detention center",B112)),"detention",
ISNUMBER(SEARCH("detention fac",B112)),"detention",
ISNUMBER(SEARCH("staging",B112)),"staging",
ISNUMBER(SEARCH("prison",B112)),"prison",
ISNUMBER(SEARCH("penet",B112)),"prison",
ISNUMBER(SEARCH("jail",B112)),"jail",
ISNUMBER(SEARCH("detention",B112)),"detention",
ISNUMBER(SEARCH("sheriff",B112)),"sheriff/police",
ISNUMBER(SEARCH("police",B112)),"sheriff/police",
TRUE,""
)</f>
        <v>correctional</v>
      </c>
      <c r="H112">
        <f>INDEX(Sheet2!B:B,MATCH(C112,Sheet2!A:A,0),1)</f>
        <v>2849</v>
      </c>
      <c r="I112">
        <f>3-COUNTBLANK(D112:F112)</f>
        <v>0</v>
      </c>
      <c r="J112">
        <f>IF(I112&gt;=2,H112,0)</f>
        <v>0</v>
      </c>
    </row>
    <row r="113" spans="1:10" x14ac:dyDescent="0.3">
      <c r="A113" t="s">
        <v>1919</v>
      </c>
      <c r="B113" t="s">
        <v>1024</v>
      </c>
      <c r="C113" t="s">
        <v>1025</v>
      </c>
      <c r="D113" t="s">
        <v>185</v>
      </c>
      <c r="E113" s="4" t="s">
        <v>2447</v>
      </c>
      <c r="G113" t="str" cm="1">
        <f t="array" ref="G113">_xlfn.IFS(
ISNUMBER(SEARCH("hold",C113)),"hold",
ISNUMBER(SEARCH("youth",C113)),"youth",
ISNUMBER(SEARCH("juve",C113)),"youth",
OR(ISNUMBER(SEARCH("health",B113)),ISNUMBER(SEARCH("care ",B113)),ISNUMBER(SEARCH("psych",B113)),ISNUMBER(SEARCH("medical",B113)),ISNUMBER(SEARCH("hospital",B113))),"medical",
ISNUMBER(SEARCH("correct",B113)),"correctional",
ISNUMBER(SEARCH("process",B113)),"processing",
ISNUMBER(SEARCH("detention center",B113)),"detention",
ISNUMBER(SEARCH("detention fac",B113)),"detention",
ISNUMBER(SEARCH("staging",B113)),"staging",
ISNUMBER(SEARCH("prison",B113)),"prison",
ISNUMBER(SEARCH("penet",B113)),"prison",
ISNUMBER(SEARCH("jail",B113)),"jail",
ISNUMBER(SEARCH("detention",B113)),"detention",
ISNUMBER(SEARCH("sheriff",B113)),"sheriff/police",
ISNUMBER(SEARCH("police",B113)),"sheriff/police",
TRUE,""
)</f>
        <v>hold</v>
      </c>
      <c r="H113">
        <f>INDEX(Sheet2!B:B,MATCH(C113,Sheet2!A:A,0),1)</f>
        <v>2836</v>
      </c>
      <c r="I113">
        <f>3-COUNTBLANK(D113:F113)</f>
        <v>2</v>
      </c>
      <c r="J113">
        <f>IF(I113&gt;=2,H113,0)</f>
        <v>2836</v>
      </c>
    </row>
    <row r="114" spans="1:10" x14ac:dyDescent="0.3">
      <c r="A114" t="s">
        <v>1185</v>
      </c>
      <c r="B114" t="s">
        <v>2562</v>
      </c>
      <c r="C114" t="s">
        <v>682</v>
      </c>
      <c r="G114" t="str" cm="1">
        <f t="array" ref="G114">_xlfn.IFS(
ISNUMBER(SEARCH("hold",C114)),"hold",
ISNUMBER(SEARCH("youth",C114)),"youth",
ISNUMBER(SEARCH("juve",C114)),"youth",
OR(ISNUMBER(SEARCH("health",B114)),ISNUMBER(SEARCH("care ",B114)),ISNUMBER(SEARCH("psych",B114)),ISNUMBER(SEARCH("medical",B114)),ISNUMBER(SEARCH("hospital",B114))),"medical",
ISNUMBER(SEARCH("correct",B114)),"correctional",
ISNUMBER(SEARCH("process",B114)),"processing",
ISNUMBER(SEARCH("detention center",B114)),"detention",
ISNUMBER(SEARCH("detention fac",B114)),"detention",
ISNUMBER(SEARCH("staging",B114)),"staging",
ISNUMBER(SEARCH("prison",B114)),"prison",
ISNUMBER(SEARCH("penet",B114)),"prison",
ISNUMBER(SEARCH("jail",B114)),"jail",
ISNUMBER(SEARCH("detention",B114)),"detention",
ISNUMBER(SEARCH("sheriff",B114)),"sheriff/police",
ISNUMBER(SEARCH("police",B114)),"sheriff/police",
TRUE,""
)</f>
        <v>prison</v>
      </c>
      <c r="H114">
        <f>INDEX(Sheet2!B:B,MATCH(C114,Sheet2!A:A,0),1)</f>
        <v>7</v>
      </c>
      <c r="I114">
        <f>3-COUNTBLANK(D114:F114)</f>
        <v>0</v>
      </c>
      <c r="J114">
        <f>IF(I114&gt;=2,H114,0)</f>
        <v>0</v>
      </c>
    </row>
    <row r="115" spans="1:10" x14ac:dyDescent="0.3">
      <c r="A115" t="s">
        <v>1925</v>
      </c>
      <c r="B115" t="s">
        <v>1871</v>
      </c>
      <c r="C115" t="s">
        <v>1872</v>
      </c>
      <c r="D115" t="s">
        <v>91</v>
      </c>
      <c r="F115" t="s">
        <v>1873</v>
      </c>
      <c r="G115" t="str" cm="1">
        <f t="array" ref="G115">_xlfn.IFS(
ISNUMBER(SEARCH("hold",C115)),"hold",
ISNUMBER(SEARCH("youth",C115)),"youth",
ISNUMBER(SEARCH("juve",C115)),"youth",
OR(ISNUMBER(SEARCH("health",B115)),ISNUMBER(SEARCH("care ",B115)),ISNUMBER(SEARCH("psych",B115)),ISNUMBER(SEARCH("medical",B115)),ISNUMBER(SEARCH("hospital",B115))),"medical",
ISNUMBER(SEARCH("correct",B115)),"correctional",
ISNUMBER(SEARCH("process",B115)),"processing",
ISNUMBER(SEARCH("detention center",B115)),"detention",
ISNUMBER(SEARCH("detention fac",B115)),"detention",
ISNUMBER(SEARCH("staging",B115)),"staging",
ISNUMBER(SEARCH("prison",B115)),"prison",
ISNUMBER(SEARCH("penet",B115)),"prison",
ISNUMBER(SEARCH("jail",B115)),"jail",
ISNUMBER(SEARCH("detention",B115)),"detention",
ISNUMBER(SEARCH("sheriff",B115)),"sheriff/police",
ISNUMBER(SEARCH("police",B115)),"sheriff/police",
TRUE,""
)</f>
        <v>jail</v>
      </c>
      <c r="H115">
        <f>INDEX(Sheet2!B:B,MATCH(C115,Sheet2!A:A,0),1)</f>
        <v>2819</v>
      </c>
      <c r="I115">
        <f>3-COUNTBLANK(D115:F115)</f>
        <v>2</v>
      </c>
      <c r="J115">
        <f>IF(I115&gt;=2,H115,0)</f>
        <v>2819</v>
      </c>
    </row>
    <row r="116" spans="1:10" x14ac:dyDescent="0.3">
      <c r="A116" t="s">
        <v>1928</v>
      </c>
      <c r="B116" t="s">
        <v>2012</v>
      </c>
      <c r="C116" t="s">
        <v>1489</v>
      </c>
      <c r="D116" t="s">
        <v>72</v>
      </c>
      <c r="E116" t="s">
        <v>2444</v>
      </c>
      <c r="G116" t="str" cm="1">
        <f t="array" ref="G116">_xlfn.IFS(
ISNUMBER(SEARCH("hold",C116)),"hold",
ISNUMBER(SEARCH("youth",C116)),"youth",
ISNUMBER(SEARCH("juve",C116)),"youth",
OR(ISNUMBER(SEARCH("health",B116)),ISNUMBER(SEARCH("care ",B116)),ISNUMBER(SEARCH("psych",B116)),ISNUMBER(SEARCH("medical",B116)),ISNUMBER(SEARCH("hospital",B116))),"medical",
ISNUMBER(SEARCH("correct",B116)),"correctional",
ISNUMBER(SEARCH("process",B116)),"processing",
ISNUMBER(SEARCH("detention center",B116)),"detention",
ISNUMBER(SEARCH("detention fac",B116)),"detention",
ISNUMBER(SEARCH("staging",B116)),"staging",
ISNUMBER(SEARCH("prison",B116)),"prison",
ISNUMBER(SEARCH("penet",B116)),"prison",
ISNUMBER(SEARCH("jail",B116)),"jail",
ISNUMBER(SEARCH("detention",B116)),"detention",
ISNUMBER(SEARCH("sheriff",B116)),"sheriff/police",
ISNUMBER(SEARCH("police",B116)),"sheriff/police",
TRUE,""
)</f>
        <v>hold</v>
      </c>
      <c r="H116">
        <f>INDEX(Sheet2!B:B,MATCH(C116,Sheet2!A:A,0),1)</f>
        <v>2785</v>
      </c>
      <c r="I116">
        <f>3-COUNTBLANK(D116:F116)</f>
        <v>2</v>
      </c>
      <c r="J116">
        <f>IF(I116&gt;=2,H116,0)</f>
        <v>2785</v>
      </c>
    </row>
    <row r="117" spans="1:10" x14ac:dyDescent="0.3">
      <c r="A117" t="s">
        <v>1931</v>
      </c>
      <c r="B117" t="s">
        <v>1366</v>
      </c>
      <c r="C117" t="s">
        <v>1367</v>
      </c>
      <c r="D117" t="s">
        <v>6</v>
      </c>
      <c r="E117" t="s">
        <v>2445</v>
      </c>
      <c r="G117" t="str" cm="1">
        <f t="array" ref="G117">_xlfn.IFS(
ISNUMBER(SEARCH("hold",C117)),"hold",
ISNUMBER(SEARCH("youth",C117)),"youth",
ISNUMBER(SEARCH("juve",C117)),"youth",
OR(ISNUMBER(SEARCH("health",B117)),ISNUMBER(SEARCH("care ",B117)),ISNUMBER(SEARCH("psych",B117)),ISNUMBER(SEARCH("medical",B117)),ISNUMBER(SEARCH("hospital",B117))),"medical",
ISNUMBER(SEARCH("correct",B117)),"correctional",
ISNUMBER(SEARCH("process",B117)),"processing",
ISNUMBER(SEARCH("detention center",B117)),"detention",
ISNUMBER(SEARCH("detention fac",B117)),"detention",
ISNUMBER(SEARCH("staging",B117)),"staging",
ISNUMBER(SEARCH("prison",B117)),"prison",
ISNUMBER(SEARCH("penet",B117)),"prison",
ISNUMBER(SEARCH("jail",B117)),"jail",
ISNUMBER(SEARCH("detention",B117)),"detention",
ISNUMBER(SEARCH("sheriff",B117)),"sheriff/police",
ISNUMBER(SEARCH("police",B117)),"sheriff/police",
TRUE,""
)</f>
        <v>hold</v>
      </c>
      <c r="H117">
        <f>INDEX(Sheet2!B:B,MATCH(C117,Sheet2!A:A,0),1)</f>
        <v>2750</v>
      </c>
      <c r="I117">
        <f>3-COUNTBLANK(D117:F117)</f>
        <v>2</v>
      </c>
      <c r="J117">
        <f>IF(I117&gt;=2,H117,0)</f>
        <v>2750</v>
      </c>
    </row>
    <row r="118" spans="1:10" x14ac:dyDescent="0.3">
      <c r="A118" t="s">
        <v>1935</v>
      </c>
      <c r="B118" t="s">
        <v>328</v>
      </c>
      <c r="C118" t="s">
        <v>329</v>
      </c>
      <c r="D118" t="s">
        <v>31</v>
      </c>
      <c r="E118" t="s">
        <v>2446</v>
      </c>
      <c r="G118" t="str" cm="1">
        <f t="array" ref="G118">_xlfn.IFS(
ISNUMBER(SEARCH("hold",C118)),"hold",
ISNUMBER(SEARCH("youth",C118)),"youth",
ISNUMBER(SEARCH("juve",C118)),"youth",
OR(ISNUMBER(SEARCH("health",B118)),ISNUMBER(SEARCH("care ",B118)),ISNUMBER(SEARCH("psych",B118)),ISNUMBER(SEARCH("medical",B118)),ISNUMBER(SEARCH("hospital",B118))),"medical",
ISNUMBER(SEARCH("correct",B118)),"correctional",
ISNUMBER(SEARCH("process",B118)),"processing",
ISNUMBER(SEARCH("detention center",B118)),"detention",
ISNUMBER(SEARCH("detention fac",B118)),"detention",
ISNUMBER(SEARCH("staging",B118)),"staging",
ISNUMBER(SEARCH("prison",B118)),"prison",
ISNUMBER(SEARCH("penet",B118)),"prison",
ISNUMBER(SEARCH("jail",B118)),"jail",
ISNUMBER(SEARCH("detention",B118)),"detention",
ISNUMBER(SEARCH("sheriff",B118)),"sheriff/police",
ISNUMBER(SEARCH("police",B118)),"sheriff/police",
TRUE,""
)</f>
        <v>hold</v>
      </c>
      <c r="H118">
        <f>INDEX(Sheet2!B:B,MATCH(C118,Sheet2!A:A,0),1)</f>
        <v>2688</v>
      </c>
      <c r="I118">
        <f>3-COUNTBLANK(D118:F118)</f>
        <v>2</v>
      </c>
      <c r="J118">
        <f>IF(I118&gt;=2,H118,0)</f>
        <v>2688</v>
      </c>
    </row>
    <row r="119" spans="1:10" x14ac:dyDescent="0.3">
      <c r="A119" t="s">
        <v>1938</v>
      </c>
      <c r="B119" t="s">
        <v>392</v>
      </c>
      <c r="C119" t="s">
        <v>393</v>
      </c>
      <c r="D119" t="s">
        <v>129</v>
      </c>
      <c r="F119" t="s">
        <v>2264</v>
      </c>
      <c r="G119" t="str" cm="1">
        <f t="array" ref="G119">_xlfn.IFS(
ISNUMBER(SEARCH("hold",C119)),"hold",
ISNUMBER(SEARCH("youth",C119)),"youth",
ISNUMBER(SEARCH("juve",C119)),"youth",
OR(ISNUMBER(SEARCH("health",B119)),ISNUMBER(SEARCH("care ",B119)),ISNUMBER(SEARCH("psych",B119)),ISNUMBER(SEARCH("medical",B119)),ISNUMBER(SEARCH("hospital",B119))),"medical",
ISNUMBER(SEARCH("correct",B119)),"correctional",
ISNUMBER(SEARCH("process",B119)),"processing",
ISNUMBER(SEARCH("detention center",B119)),"detention",
ISNUMBER(SEARCH("detention fac",B119)),"detention",
ISNUMBER(SEARCH("staging",B119)),"staging",
ISNUMBER(SEARCH("prison",B119)),"prison",
ISNUMBER(SEARCH("penet",B119)),"prison",
ISNUMBER(SEARCH("jail",B119)),"jail",
ISNUMBER(SEARCH("detention",B119)),"detention",
ISNUMBER(SEARCH("sheriff",B119)),"sheriff/police",
ISNUMBER(SEARCH("police",B119)),"sheriff/police",
TRUE,""
)</f>
        <v>jail</v>
      </c>
      <c r="H119">
        <f>INDEX(Sheet2!B:B,MATCH(C119,Sheet2!A:A,0),1)</f>
        <v>2610</v>
      </c>
      <c r="I119">
        <f>3-COUNTBLANK(D119:F119)</f>
        <v>2</v>
      </c>
      <c r="J119">
        <f>IF(I119&gt;=2,H119,0)</f>
        <v>2610</v>
      </c>
    </row>
    <row r="120" spans="1:10" x14ac:dyDescent="0.3">
      <c r="A120" t="s">
        <v>1941</v>
      </c>
      <c r="B120" t="s">
        <v>258</v>
      </c>
      <c r="C120" t="s">
        <v>259</v>
      </c>
      <c r="D120" t="s">
        <v>185</v>
      </c>
      <c r="E120" t="s">
        <v>2447</v>
      </c>
      <c r="G120" t="str" cm="1">
        <f t="array" ref="G120">_xlfn.IFS(
ISNUMBER(SEARCH("hold",C120)),"hold",
ISNUMBER(SEARCH("youth",C120)),"youth",
ISNUMBER(SEARCH("juve",C120)),"youth",
OR(ISNUMBER(SEARCH("health",B120)),ISNUMBER(SEARCH("care ",B120)),ISNUMBER(SEARCH("psych",B120)),ISNUMBER(SEARCH("medical",B120)),ISNUMBER(SEARCH("hospital",B120))),"medical",
ISNUMBER(SEARCH("correct",B120)),"correctional",
ISNUMBER(SEARCH("process",B120)),"processing",
ISNUMBER(SEARCH("detention center",B120)),"detention",
ISNUMBER(SEARCH("detention fac",B120)),"detention",
ISNUMBER(SEARCH("staging",B120)),"staging",
ISNUMBER(SEARCH("prison",B120)),"prison",
ISNUMBER(SEARCH("penet",B120)),"prison",
ISNUMBER(SEARCH("jail",B120)),"jail",
ISNUMBER(SEARCH("detention",B120)),"detention",
ISNUMBER(SEARCH("sheriff",B120)),"sheriff/police",
ISNUMBER(SEARCH("police",B120)),"sheriff/police",
TRUE,""
)</f>
        <v>detention</v>
      </c>
      <c r="H120">
        <f>INDEX(Sheet2!B:B,MATCH(C120,Sheet2!A:A,0),1)</f>
        <v>2560</v>
      </c>
      <c r="I120">
        <f>3-COUNTBLANK(D120:F120)</f>
        <v>2</v>
      </c>
      <c r="J120">
        <f>IF(I120&gt;=2,H120,0)</f>
        <v>2560</v>
      </c>
    </row>
    <row r="121" spans="1:10" x14ac:dyDescent="0.3">
      <c r="A121" t="s">
        <v>3</v>
      </c>
      <c r="B121" t="s">
        <v>1856</v>
      </c>
      <c r="C121" t="s">
        <v>1857</v>
      </c>
      <c r="D121" t="s">
        <v>14</v>
      </c>
      <c r="G121" t="str" cm="1">
        <f t="array" ref="G121">_xlfn.IFS(
ISNUMBER(SEARCH("hold",C121)),"hold",
ISNUMBER(SEARCH("youth",C121)),"youth",
ISNUMBER(SEARCH("juve",C121)),"youth",
OR(ISNUMBER(SEARCH("health",B121)),ISNUMBER(SEARCH("care ",B121)),ISNUMBER(SEARCH("psych",B121)),ISNUMBER(SEARCH("medical",B121)),ISNUMBER(SEARCH("hospital",B121))),"medical",
ISNUMBER(SEARCH("correct",B121)),"correctional",
ISNUMBER(SEARCH("process",B121)),"processing",
ISNUMBER(SEARCH("detention center",B121)),"detention",
ISNUMBER(SEARCH("detention fac",B121)),"detention",
ISNUMBER(SEARCH("staging",B121)),"staging",
ISNUMBER(SEARCH("prison",B121)),"prison",
ISNUMBER(SEARCH("penet",B121)),"prison",
ISNUMBER(SEARCH("jail",B121)),"jail",
ISNUMBER(SEARCH("detention",B121)),"detention",
ISNUMBER(SEARCH("sheriff",B121)),"sheriff/police",
ISNUMBER(SEARCH("police",B121)),"sheriff/police",
TRUE,""
)</f>
        <v>hold</v>
      </c>
      <c r="H121">
        <f>INDEX(Sheet2!B:B,MATCH(C121,Sheet2!A:A,0),1)</f>
        <v>2559</v>
      </c>
      <c r="I121">
        <f>3-COUNTBLANK(D121:F121)</f>
        <v>1</v>
      </c>
      <c r="J121">
        <f>IF(I121&gt;=2,H121,0)</f>
        <v>0</v>
      </c>
    </row>
    <row r="122" spans="1:10" x14ac:dyDescent="0.3">
      <c r="A122" t="s">
        <v>7</v>
      </c>
      <c r="B122" t="s">
        <v>556</v>
      </c>
      <c r="C122" t="s">
        <v>557</v>
      </c>
      <c r="D122" t="s">
        <v>129</v>
      </c>
      <c r="E122" t="s">
        <v>2451</v>
      </c>
      <c r="G122" t="str" cm="1">
        <f t="array" ref="G122">_xlfn.IFS(
ISNUMBER(SEARCH("hold",C122)),"hold",
ISNUMBER(SEARCH("youth",C122)),"youth",
ISNUMBER(SEARCH("juve",C122)),"youth",
OR(ISNUMBER(SEARCH("health",B122)),ISNUMBER(SEARCH("care ",B122)),ISNUMBER(SEARCH("psych",B122)),ISNUMBER(SEARCH("medical",B122)),ISNUMBER(SEARCH("hospital",B122))),"medical",
ISNUMBER(SEARCH("correct",B122)),"correctional",
ISNUMBER(SEARCH("process",B122)),"processing",
ISNUMBER(SEARCH("detention center",B122)),"detention",
ISNUMBER(SEARCH("detention fac",B122)),"detention",
ISNUMBER(SEARCH("staging",B122)),"staging",
ISNUMBER(SEARCH("prison",B122)),"prison",
ISNUMBER(SEARCH("penet",B122)),"prison",
ISNUMBER(SEARCH("jail",B122)),"jail",
ISNUMBER(SEARCH("detention",B122)),"detention",
ISNUMBER(SEARCH("sheriff",B122)),"sheriff/police",
ISNUMBER(SEARCH("police",B122)),"sheriff/police",
TRUE,""
)</f>
        <v>hold</v>
      </c>
      <c r="H122">
        <f>INDEX(Sheet2!B:B,MATCH(C122,Sheet2!A:A,0),1)</f>
        <v>2520</v>
      </c>
      <c r="I122">
        <f>3-COUNTBLANK(D122:F122)</f>
        <v>2</v>
      </c>
      <c r="J122">
        <f>IF(I122&gt;=2,H122,0)</f>
        <v>2520</v>
      </c>
    </row>
    <row r="123" spans="1:10" x14ac:dyDescent="0.3">
      <c r="A123" t="s">
        <v>11</v>
      </c>
      <c r="B123" t="s">
        <v>104</v>
      </c>
      <c r="C123" t="s">
        <v>105</v>
      </c>
      <c r="D123" t="s">
        <v>35</v>
      </c>
      <c r="E123" t="s">
        <v>2226</v>
      </c>
      <c r="G123" t="str" cm="1">
        <f t="array" ref="G123">_xlfn.IFS(
ISNUMBER(SEARCH("hold",C123)),"hold",
ISNUMBER(SEARCH("youth",C123)),"youth",
ISNUMBER(SEARCH("juve",C123)),"youth",
OR(ISNUMBER(SEARCH("health",B123)),ISNUMBER(SEARCH("care ",B123)),ISNUMBER(SEARCH("psych",B123)),ISNUMBER(SEARCH("medical",B123)),ISNUMBER(SEARCH("hospital",B123))),"medical",
ISNUMBER(SEARCH("correct",B123)),"correctional",
ISNUMBER(SEARCH("process",B123)),"processing",
ISNUMBER(SEARCH("detention center",B123)),"detention",
ISNUMBER(SEARCH("detention fac",B123)),"detention",
ISNUMBER(SEARCH("staging",B123)),"staging",
ISNUMBER(SEARCH("prison",B123)),"prison",
ISNUMBER(SEARCH("penet",B123)),"prison",
ISNUMBER(SEARCH("jail",B123)),"jail",
ISNUMBER(SEARCH("detention",B123)),"detention",
ISNUMBER(SEARCH("sheriff",B123)),"sheriff/police",
ISNUMBER(SEARCH("police",B123)),"sheriff/police",
TRUE,""
)</f>
        <v>hold</v>
      </c>
      <c r="H123">
        <f>INDEX(Sheet2!B:B,MATCH(C123,Sheet2!A:A,0),1)</f>
        <v>2510</v>
      </c>
      <c r="I123">
        <f>3-COUNTBLANK(D123:F123)</f>
        <v>2</v>
      </c>
      <c r="J123">
        <f>IF(I123&gt;=2,H123,0)</f>
        <v>2510</v>
      </c>
    </row>
    <row r="124" spans="1:10" x14ac:dyDescent="0.3">
      <c r="A124" t="s">
        <v>17</v>
      </c>
      <c r="B124" t="s">
        <v>131</v>
      </c>
      <c r="C124" t="s">
        <v>132</v>
      </c>
      <c r="D124" t="s">
        <v>133</v>
      </c>
      <c r="F124" t="s">
        <v>2303</v>
      </c>
      <c r="G124" t="str" cm="1">
        <f t="array" ref="G124">_xlfn.IFS(
ISNUMBER(SEARCH("hold",C124)),"hold",
ISNUMBER(SEARCH("youth",C124)),"youth",
ISNUMBER(SEARCH("juve",C124)),"youth",
OR(ISNUMBER(SEARCH("health",B124)),ISNUMBER(SEARCH("care ",B124)),ISNUMBER(SEARCH("psych",B124)),ISNUMBER(SEARCH("medical",B124)),ISNUMBER(SEARCH("hospital",B124))),"medical",
ISNUMBER(SEARCH("correct",B124)),"correctional",
ISNUMBER(SEARCH("process",B124)),"processing",
ISNUMBER(SEARCH("detention center",B124)),"detention",
ISNUMBER(SEARCH("detention fac",B124)),"detention",
ISNUMBER(SEARCH("staging",B124)),"staging",
ISNUMBER(SEARCH("prison",B124)),"prison",
ISNUMBER(SEARCH("penet",B124)),"prison",
ISNUMBER(SEARCH("jail",B124)),"jail",
ISNUMBER(SEARCH("detention",B124)),"detention",
ISNUMBER(SEARCH("sheriff",B124)),"sheriff/police",
ISNUMBER(SEARCH("police",B124)),"sheriff/police",
TRUE,""
)</f>
        <v>jail</v>
      </c>
      <c r="H124">
        <f>INDEX(Sheet2!B:B,MATCH(C124,Sheet2!A:A,0),1)</f>
        <v>2466</v>
      </c>
      <c r="I124">
        <f>3-COUNTBLANK(D124:F124)</f>
        <v>2</v>
      </c>
      <c r="J124">
        <f>IF(I124&gt;=2,H124,0)</f>
        <v>2466</v>
      </c>
    </row>
    <row r="125" spans="1:10" x14ac:dyDescent="0.3">
      <c r="A125" t="s">
        <v>528</v>
      </c>
      <c r="B125" t="s">
        <v>2563</v>
      </c>
      <c r="C125" t="s">
        <v>640</v>
      </c>
      <c r="G125" t="str" cm="1">
        <f t="array" ref="G125">_xlfn.IFS(
ISNUMBER(SEARCH("hold",C125)),"hold",
ISNUMBER(SEARCH("youth",C125)),"youth",
ISNUMBER(SEARCH("juve",C125)),"youth",
OR(ISNUMBER(SEARCH("health",B125)),ISNUMBER(SEARCH("care ",B125)),ISNUMBER(SEARCH("psych",B125)),ISNUMBER(SEARCH("medical",B125)),ISNUMBER(SEARCH("hospital",B125))),"medical",
ISNUMBER(SEARCH("correct",B125)),"correctional",
ISNUMBER(SEARCH("process",B125)),"processing",
ISNUMBER(SEARCH("detention center",B125)),"detention",
ISNUMBER(SEARCH("detention fac",B125)),"detention",
ISNUMBER(SEARCH("staging",B125)),"staging",
ISNUMBER(SEARCH("prison",B125)),"prison",
ISNUMBER(SEARCH("penet",B125)),"prison",
ISNUMBER(SEARCH("jail",B125)),"jail",
ISNUMBER(SEARCH("detention",B125)),"detention",
ISNUMBER(SEARCH("sheriff",B125)),"sheriff/police",
ISNUMBER(SEARCH("police",B125)),"sheriff/police",
TRUE,""
)</f>
        <v>prison</v>
      </c>
      <c r="H125">
        <f>INDEX(Sheet2!B:B,MATCH(C125,Sheet2!A:A,0),1)</f>
        <v>354</v>
      </c>
      <c r="I125">
        <f>3-COUNTBLANK(D125:F125)</f>
        <v>0</v>
      </c>
      <c r="J125">
        <f>IF(I125&gt;=2,H125,0)</f>
        <v>0</v>
      </c>
    </row>
    <row r="126" spans="1:10" x14ac:dyDescent="0.3">
      <c r="A126" t="s">
        <v>24</v>
      </c>
      <c r="B126" t="s">
        <v>921</v>
      </c>
      <c r="C126" t="s">
        <v>922</v>
      </c>
      <c r="D126" t="s">
        <v>116</v>
      </c>
      <c r="E126" t="s">
        <v>2277</v>
      </c>
      <c r="G126" t="str" cm="1">
        <f t="array" ref="G126">_xlfn.IFS(
ISNUMBER(SEARCH("hold",C126)),"hold",
ISNUMBER(SEARCH("youth",C126)),"youth",
ISNUMBER(SEARCH("juve",C126)),"youth",
OR(ISNUMBER(SEARCH("health",B126)),ISNUMBER(SEARCH("care ",B126)),ISNUMBER(SEARCH("psych",B126)),ISNUMBER(SEARCH("medical",B126)),ISNUMBER(SEARCH("hospital",B126))),"medical",
ISNUMBER(SEARCH("correct",B126)),"correctional",
ISNUMBER(SEARCH("process",B126)),"processing",
ISNUMBER(SEARCH("detention center",B126)),"detention",
ISNUMBER(SEARCH("detention fac",B126)),"detention",
ISNUMBER(SEARCH("staging",B126)),"staging",
ISNUMBER(SEARCH("prison",B126)),"prison",
ISNUMBER(SEARCH("penet",B126)),"prison",
ISNUMBER(SEARCH("jail",B126)),"jail",
ISNUMBER(SEARCH("detention",B126)),"detention",
ISNUMBER(SEARCH("sheriff",B126)),"sheriff/police",
ISNUMBER(SEARCH("police",B126)),"sheriff/police",
TRUE,""
)</f>
        <v>correctional</v>
      </c>
      <c r="H126">
        <f>INDEX(Sheet2!B:B,MATCH(C126,Sheet2!A:A,0),1)</f>
        <v>2367</v>
      </c>
      <c r="I126">
        <f>3-COUNTBLANK(D126:F126)</f>
        <v>2</v>
      </c>
      <c r="J126">
        <f>IF(I126&gt;=2,H126,0)</f>
        <v>2367</v>
      </c>
    </row>
    <row r="127" spans="1:10" x14ac:dyDescent="0.3">
      <c r="A127" t="s">
        <v>28</v>
      </c>
      <c r="B127" t="s">
        <v>1112</v>
      </c>
      <c r="C127" t="s">
        <v>1113</v>
      </c>
      <c r="D127" t="s">
        <v>159</v>
      </c>
      <c r="E127" t="s">
        <v>2457</v>
      </c>
      <c r="G127" t="str" cm="1">
        <f t="array" ref="G127">_xlfn.IFS(
ISNUMBER(SEARCH("hold",C127)),"hold",
ISNUMBER(SEARCH("youth",C127)),"youth",
ISNUMBER(SEARCH("juve",C127)),"youth",
OR(ISNUMBER(SEARCH("health",B127)),ISNUMBER(SEARCH("care ",B127)),ISNUMBER(SEARCH("psych",B127)),ISNUMBER(SEARCH("medical",B127)),ISNUMBER(SEARCH("hospital",B127))),"medical",
ISNUMBER(SEARCH("correct",B127)),"correctional",
ISNUMBER(SEARCH("process",B127)),"processing",
ISNUMBER(SEARCH("detention center",B127)),"detention",
ISNUMBER(SEARCH("detention fac",B127)),"detention",
ISNUMBER(SEARCH("staging",B127)),"staging",
ISNUMBER(SEARCH("prison",B127)),"prison",
ISNUMBER(SEARCH("penet",B127)),"prison",
ISNUMBER(SEARCH("jail",B127)),"jail",
ISNUMBER(SEARCH("detention",B127)),"detention",
ISNUMBER(SEARCH("sheriff",B127)),"sheriff/police",
ISNUMBER(SEARCH("police",B127)),"sheriff/police",
TRUE,""
)</f>
        <v>hold</v>
      </c>
      <c r="H127">
        <f>INDEX(Sheet2!B:B,MATCH(C127,Sheet2!A:A,0),1)</f>
        <v>2285</v>
      </c>
      <c r="I127">
        <f>3-COUNTBLANK(D127:F127)</f>
        <v>2</v>
      </c>
      <c r="J127">
        <f>IF(I127&gt;=2,H127,0)</f>
        <v>2285</v>
      </c>
    </row>
    <row r="128" spans="1:10" x14ac:dyDescent="0.3">
      <c r="A128" t="s">
        <v>32</v>
      </c>
      <c r="B128" t="s">
        <v>1254</v>
      </c>
      <c r="C128" t="s">
        <v>1255</v>
      </c>
      <c r="D128" t="s">
        <v>227</v>
      </c>
      <c r="E128" t="s">
        <v>2458</v>
      </c>
      <c r="G128" t="str" cm="1">
        <f t="array" ref="G128">_xlfn.IFS(
ISNUMBER(SEARCH("hold",C128)),"hold",
ISNUMBER(SEARCH("youth",C128)),"youth",
ISNUMBER(SEARCH("juve",C128)),"youth",
OR(ISNUMBER(SEARCH("health",B128)),ISNUMBER(SEARCH("care ",B128)),ISNUMBER(SEARCH("psych",B128)),ISNUMBER(SEARCH("medical",B128)),ISNUMBER(SEARCH("hospital",B128))),"medical",
ISNUMBER(SEARCH("correct",B128)),"correctional",
ISNUMBER(SEARCH("process",B128)),"processing",
ISNUMBER(SEARCH("detention center",B128)),"detention",
ISNUMBER(SEARCH("detention fac",B128)),"detention",
ISNUMBER(SEARCH("staging",B128)),"staging",
ISNUMBER(SEARCH("prison",B128)),"prison",
ISNUMBER(SEARCH("penet",B128)),"prison",
ISNUMBER(SEARCH("jail",B128)),"jail",
ISNUMBER(SEARCH("detention",B128)),"detention",
ISNUMBER(SEARCH("sheriff",B128)),"sheriff/police",
ISNUMBER(SEARCH("police",B128)),"sheriff/police",
TRUE,""
)</f>
        <v>hold</v>
      </c>
      <c r="H128">
        <f>INDEX(Sheet2!B:B,MATCH(C128,Sheet2!A:A,0),1)</f>
        <v>2191</v>
      </c>
      <c r="I128">
        <f>3-COUNTBLANK(D128:F128)</f>
        <v>2</v>
      </c>
      <c r="J128">
        <f>IF(I128&gt;=2,H128,0)</f>
        <v>2191</v>
      </c>
    </row>
    <row r="129" spans="1:10" x14ac:dyDescent="0.3">
      <c r="A129" t="s">
        <v>1971</v>
      </c>
      <c r="B129" t="s">
        <v>118</v>
      </c>
      <c r="C129" t="s">
        <v>119</v>
      </c>
      <c r="D129" t="s">
        <v>31</v>
      </c>
      <c r="E129" t="s">
        <v>1592</v>
      </c>
      <c r="G129" t="str" cm="1">
        <f t="array" ref="G129">_xlfn.IFS(
ISNUMBER(SEARCH("hold",C129)),"hold",
ISNUMBER(SEARCH("youth",C129)),"youth",
ISNUMBER(SEARCH("juve",C129)),"youth",
OR(ISNUMBER(SEARCH("health",B129)),ISNUMBER(SEARCH("care ",B129)),ISNUMBER(SEARCH("psych",B129)),ISNUMBER(SEARCH("medical",B129)),ISNUMBER(SEARCH("hospital",B129))),"medical",
ISNUMBER(SEARCH("correct",B129)),"correctional",
ISNUMBER(SEARCH("process",B129)),"processing",
ISNUMBER(SEARCH("detention center",B129)),"detention",
ISNUMBER(SEARCH("detention fac",B129)),"detention",
ISNUMBER(SEARCH("staging",B129)),"staging",
ISNUMBER(SEARCH("prison",B129)),"prison",
ISNUMBER(SEARCH("penet",B129)),"prison",
ISNUMBER(SEARCH("jail",B129)),"jail",
ISNUMBER(SEARCH("detention",B129)),"detention",
ISNUMBER(SEARCH("sheriff",B129)),"sheriff/police",
ISNUMBER(SEARCH("police",B129)),"sheriff/police",
TRUE,""
)</f>
        <v/>
      </c>
      <c r="H129">
        <f>INDEX(Sheet2!B:B,MATCH(C129,Sheet2!A:A,0),1)</f>
        <v>8563</v>
      </c>
      <c r="I129">
        <f>3-COUNTBLANK(D129:F129)</f>
        <v>2</v>
      </c>
      <c r="J129">
        <f>IF(I129&gt;=2,H129,0)</f>
        <v>8563</v>
      </c>
    </row>
    <row r="130" spans="1:10" x14ac:dyDescent="0.3">
      <c r="A130" t="s">
        <v>1823</v>
      </c>
      <c r="B130" t="s">
        <v>616</v>
      </c>
      <c r="C130" t="s">
        <v>617</v>
      </c>
      <c r="D130" t="s">
        <v>72</v>
      </c>
      <c r="E130" s="3" t="s">
        <v>2441</v>
      </c>
      <c r="G130" t="str" cm="1">
        <f t="array" ref="G130">_xlfn.IFS(
ISNUMBER(SEARCH("hold",C130)),"hold",
ISNUMBER(SEARCH("youth",C130)),"youth",
ISNUMBER(SEARCH("juve",C130)),"youth",
OR(ISNUMBER(SEARCH("health",B130)),ISNUMBER(SEARCH("care ",B130)),ISNUMBER(SEARCH("psych",B130)),ISNUMBER(SEARCH("medical",B130)),ISNUMBER(SEARCH("hospital",B130))),"medical",
ISNUMBER(SEARCH("correct",B130)),"correctional",
ISNUMBER(SEARCH("process",B130)),"processing",
ISNUMBER(SEARCH("detention center",B130)),"detention",
ISNUMBER(SEARCH("detention fac",B130)),"detention",
ISNUMBER(SEARCH("staging",B130)),"staging",
ISNUMBER(SEARCH("prison",B130)),"prison",
ISNUMBER(SEARCH("penet",B130)),"prison",
ISNUMBER(SEARCH("jail",B130)),"jail",
ISNUMBER(SEARCH("detention",B130)),"detention",
ISNUMBER(SEARCH("sheriff",B130)),"sheriff/police",
ISNUMBER(SEARCH("police",B130)),"sheriff/police",
TRUE,""
)</f>
        <v>hold</v>
      </c>
      <c r="H130">
        <f>INDEX(Sheet2!B:B,MATCH(C130,Sheet2!A:A,0),1)</f>
        <v>2159</v>
      </c>
      <c r="I130">
        <f>3-COUNTBLANK(D130:F130)</f>
        <v>2</v>
      </c>
      <c r="J130">
        <f>IF(I130&gt;=2,H130,0)</f>
        <v>2159</v>
      </c>
    </row>
    <row r="131" spans="1:10" x14ac:dyDescent="0.3">
      <c r="A131" t="s">
        <v>1826</v>
      </c>
      <c r="B131" t="s">
        <v>1222</v>
      </c>
      <c r="C131" t="s">
        <v>1223</v>
      </c>
      <c r="D131" t="s">
        <v>189</v>
      </c>
      <c r="E131" s="3" t="s">
        <v>2527</v>
      </c>
      <c r="G131" t="str" cm="1">
        <f t="array" ref="G131">_xlfn.IFS(
ISNUMBER(SEARCH("hold",C131)),"hold",
ISNUMBER(SEARCH("youth",C131)),"youth",
ISNUMBER(SEARCH("juve",C131)),"youth",
OR(ISNUMBER(SEARCH("health",B131)),ISNUMBER(SEARCH("care ",B131)),ISNUMBER(SEARCH("psych",B131)),ISNUMBER(SEARCH("medical",B131)),ISNUMBER(SEARCH("hospital",B131))),"medical",
ISNUMBER(SEARCH("correct",B131)),"correctional",
ISNUMBER(SEARCH("process",B131)),"processing",
ISNUMBER(SEARCH("detention center",B131)),"detention",
ISNUMBER(SEARCH("detention fac",B131)),"detention",
ISNUMBER(SEARCH("staging",B131)),"staging",
ISNUMBER(SEARCH("prison",B131)),"prison",
ISNUMBER(SEARCH("penet",B131)),"prison",
ISNUMBER(SEARCH("jail",B131)),"jail",
ISNUMBER(SEARCH("detention",B131)),"detention",
ISNUMBER(SEARCH("sheriff",B131)),"sheriff/police",
ISNUMBER(SEARCH("police",B131)),"sheriff/police",
TRUE,""
)</f>
        <v>staging</v>
      </c>
      <c r="H131">
        <f>INDEX(Sheet2!B:B,MATCH(C131,Sheet2!A:A,0),1)</f>
        <v>2137</v>
      </c>
      <c r="I131">
        <f>3-COUNTBLANK(D131:F131)</f>
        <v>2</v>
      </c>
      <c r="J131">
        <f>IF(I131&gt;=2,H131,0)</f>
        <v>2137</v>
      </c>
    </row>
    <row r="132" spans="1:10" x14ac:dyDescent="0.3">
      <c r="A132" t="s">
        <v>39</v>
      </c>
      <c r="B132" t="s">
        <v>1208</v>
      </c>
      <c r="C132" t="s">
        <v>1209</v>
      </c>
      <c r="D132" t="s">
        <v>87</v>
      </c>
      <c r="F132" t="s">
        <v>2359</v>
      </c>
      <c r="G132" t="str" cm="1">
        <f t="array" ref="G132">_xlfn.IFS(
ISNUMBER(SEARCH("hold",C132)),"hold",
ISNUMBER(SEARCH("youth",C132)),"youth",
ISNUMBER(SEARCH("juve",C132)),"youth",
OR(ISNUMBER(SEARCH("health",B132)),ISNUMBER(SEARCH("care ",B132)),ISNUMBER(SEARCH("psych",B132)),ISNUMBER(SEARCH("medical",B132)),ISNUMBER(SEARCH("hospital",B132))),"medical",
ISNUMBER(SEARCH("correct",B132)),"correctional",
ISNUMBER(SEARCH("process",B132)),"processing",
ISNUMBER(SEARCH("detention center",B132)),"detention",
ISNUMBER(SEARCH("detention fac",B132)),"detention",
ISNUMBER(SEARCH("staging",B132)),"staging",
ISNUMBER(SEARCH("prison",B132)),"prison",
ISNUMBER(SEARCH("penet",B132)),"prison",
ISNUMBER(SEARCH("jail",B132)),"jail",
ISNUMBER(SEARCH("detention",B132)),"detention",
ISNUMBER(SEARCH("sheriff",B132)),"sheriff/police",
ISNUMBER(SEARCH("police",B132)),"sheriff/police",
TRUE,""
)</f>
        <v>jail</v>
      </c>
      <c r="H132">
        <f>INDEX(Sheet2!B:B,MATCH(C132,Sheet2!A:A,0),1)</f>
        <v>2137</v>
      </c>
      <c r="I132">
        <f>3-COUNTBLANK(D132:F132)</f>
        <v>2</v>
      </c>
      <c r="J132">
        <f>IF(I132&gt;=2,H132,0)</f>
        <v>2137</v>
      </c>
    </row>
    <row r="133" spans="1:10" x14ac:dyDescent="0.3">
      <c r="A133" t="s">
        <v>20</v>
      </c>
      <c r="B133" t="s">
        <v>1792</v>
      </c>
      <c r="C133" t="s">
        <v>1793</v>
      </c>
      <c r="D133" t="s">
        <v>116</v>
      </c>
      <c r="F133" t="s">
        <v>2259</v>
      </c>
      <c r="G133" t="str" cm="1">
        <f t="array" ref="G133">_xlfn.IFS(
ISNUMBER(SEARCH("hold",C133)),"hold",
ISNUMBER(SEARCH("youth",C133)),"youth",
ISNUMBER(SEARCH("juve",C133)),"youth",
OR(ISNUMBER(SEARCH("health",B133)),ISNUMBER(SEARCH("care ",B133)),ISNUMBER(SEARCH("psych",B133)),ISNUMBER(SEARCH("medical",B133)),ISNUMBER(SEARCH("hospital",B133))),"medical",
ISNUMBER(SEARCH("correct",B133)),"correctional",
ISNUMBER(SEARCH("process",B133)),"processing",
ISNUMBER(SEARCH("detention center",B133)),"detention",
ISNUMBER(SEARCH("detention fac",B133)),"detention",
ISNUMBER(SEARCH("staging",B133)),"staging",
ISNUMBER(SEARCH("prison",B133)),"prison",
ISNUMBER(SEARCH("penet",B133)),"prison",
ISNUMBER(SEARCH("jail",B133)),"jail",
ISNUMBER(SEARCH("detention",B133)),"detention",
ISNUMBER(SEARCH("sheriff",B133)),"sheriff/police",
ISNUMBER(SEARCH("police",B133)),"sheriff/police",
TRUE,""
)</f>
        <v/>
      </c>
      <c r="H133">
        <f>INDEX(Sheet2!B:B,MATCH(C133,Sheet2!A:A,0),1)</f>
        <v>2441</v>
      </c>
      <c r="I133">
        <f>3-COUNTBLANK(D133:F133)</f>
        <v>2</v>
      </c>
      <c r="J133">
        <f>IF(I133&gt;=2,H133,0)</f>
        <v>2441</v>
      </c>
    </row>
    <row r="134" spans="1:10" x14ac:dyDescent="0.3">
      <c r="A134" t="s">
        <v>47</v>
      </c>
      <c r="B134" t="s">
        <v>305</v>
      </c>
      <c r="C134" t="s">
        <v>306</v>
      </c>
      <c r="D134" t="s">
        <v>6</v>
      </c>
      <c r="E134" t="s">
        <v>2511</v>
      </c>
      <c r="F134" t="s">
        <v>2524</v>
      </c>
      <c r="G134" t="str" cm="1">
        <f t="array" ref="G134">_xlfn.IFS(
ISNUMBER(SEARCH("hold",C134)),"hold",
ISNUMBER(SEARCH("youth",C134)),"youth",
ISNUMBER(SEARCH("juve",C134)),"youth",
OR(ISNUMBER(SEARCH("health",B134)),ISNUMBER(SEARCH("care ",B134)),ISNUMBER(SEARCH("psych",B134)),ISNUMBER(SEARCH("medical",B134)),ISNUMBER(SEARCH("hospital",B134))),"medical",
ISNUMBER(SEARCH("correct",B134)),"correctional",
ISNUMBER(SEARCH("process",B134)),"processing",
ISNUMBER(SEARCH("detention center",B134)),"detention",
ISNUMBER(SEARCH("detention fac",B134)),"detention",
ISNUMBER(SEARCH("staging",B134)),"staging",
ISNUMBER(SEARCH("prison",B134)),"prison",
ISNUMBER(SEARCH("penet",B134)),"prison",
ISNUMBER(SEARCH("jail",B134)),"jail",
ISNUMBER(SEARCH("detention",B134)),"detention",
ISNUMBER(SEARCH("sheriff",B134)),"sheriff/police",
ISNUMBER(SEARCH("police",B134)),"sheriff/police",
TRUE,""
)</f>
        <v>hold</v>
      </c>
      <c r="H134">
        <f>INDEX(Sheet2!B:B,MATCH(C134,Sheet2!A:A,0),1)</f>
        <v>2112</v>
      </c>
      <c r="I134">
        <f>3-COUNTBLANK(D134:F134)</f>
        <v>3</v>
      </c>
      <c r="J134">
        <f>IF(I134&gt;=2,H134,0)</f>
        <v>2112</v>
      </c>
    </row>
    <row r="135" spans="1:10" x14ac:dyDescent="0.3">
      <c r="A135" t="s">
        <v>52</v>
      </c>
      <c r="B135" t="s">
        <v>552</v>
      </c>
      <c r="C135" t="s">
        <v>553</v>
      </c>
      <c r="D135" t="s">
        <v>121</v>
      </c>
      <c r="F135" t="s">
        <v>554</v>
      </c>
      <c r="G135" t="str" cm="1">
        <f t="array" ref="G135">_xlfn.IFS(
ISNUMBER(SEARCH("hold",C135)),"hold",
ISNUMBER(SEARCH("youth",C135)),"youth",
ISNUMBER(SEARCH("juve",C135)),"youth",
OR(ISNUMBER(SEARCH("health",B135)),ISNUMBER(SEARCH("care ",B135)),ISNUMBER(SEARCH("psych",B135)),ISNUMBER(SEARCH("medical",B135)),ISNUMBER(SEARCH("hospital",B135))),"medical",
ISNUMBER(SEARCH("correct",B135)),"correctional",
ISNUMBER(SEARCH("process",B135)),"processing",
ISNUMBER(SEARCH("detention center",B135)),"detention",
ISNUMBER(SEARCH("detention fac",B135)),"detention",
ISNUMBER(SEARCH("staging",B135)),"staging",
ISNUMBER(SEARCH("prison",B135)),"prison",
ISNUMBER(SEARCH("penet",B135)),"prison",
ISNUMBER(SEARCH("jail",B135)),"jail",
ISNUMBER(SEARCH("detention",B135)),"detention",
ISNUMBER(SEARCH("sheriff",B135)),"sheriff/police",
ISNUMBER(SEARCH("police",B135)),"sheriff/police",
TRUE,""
)</f>
        <v>jail</v>
      </c>
      <c r="H135">
        <f>INDEX(Sheet2!B:B,MATCH(C135,Sheet2!A:A,0),1)</f>
        <v>2087</v>
      </c>
      <c r="I135">
        <f>3-COUNTBLANK(D135:F135)</f>
        <v>2</v>
      </c>
      <c r="J135">
        <f>IF(I135&gt;=2,H135,0)</f>
        <v>2087</v>
      </c>
    </row>
    <row r="136" spans="1:10" x14ac:dyDescent="0.3">
      <c r="A136" t="s">
        <v>56</v>
      </c>
      <c r="B136" t="s">
        <v>673</v>
      </c>
      <c r="C136" t="s">
        <v>674</v>
      </c>
      <c r="D136" t="s">
        <v>27</v>
      </c>
      <c r="E136" t="s">
        <v>2512</v>
      </c>
      <c r="G136" t="str" cm="1">
        <f t="array" ref="G136">_xlfn.IFS(
ISNUMBER(SEARCH("hold",C136)),"hold",
ISNUMBER(SEARCH("youth",C136)),"youth",
ISNUMBER(SEARCH("juve",C136)),"youth",
OR(ISNUMBER(SEARCH("health",B136)),ISNUMBER(SEARCH("care ",B136)),ISNUMBER(SEARCH("psych",B136)),ISNUMBER(SEARCH("medical",B136)),ISNUMBER(SEARCH("hospital",B136))),"medical",
ISNUMBER(SEARCH("correct",B136)),"correctional",
ISNUMBER(SEARCH("process",B136)),"processing",
ISNUMBER(SEARCH("detention center",B136)),"detention",
ISNUMBER(SEARCH("detention fac",B136)),"detention",
ISNUMBER(SEARCH("staging",B136)),"staging",
ISNUMBER(SEARCH("prison",B136)),"prison",
ISNUMBER(SEARCH("penet",B136)),"prison",
ISNUMBER(SEARCH("jail",B136)),"jail",
ISNUMBER(SEARCH("detention",B136)),"detention",
ISNUMBER(SEARCH("sheriff",B136)),"sheriff/police",
ISNUMBER(SEARCH("police",B136)),"sheriff/police",
TRUE,""
)</f>
        <v>hold</v>
      </c>
      <c r="H136">
        <f>INDEX(Sheet2!B:B,MATCH(C136,Sheet2!A:A,0),1)</f>
        <v>2078</v>
      </c>
      <c r="I136">
        <f>3-COUNTBLANK(D136:F136)</f>
        <v>2</v>
      </c>
      <c r="J136">
        <f>IF(I136&gt;=2,H136,0)</f>
        <v>2078</v>
      </c>
    </row>
    <row r="137" spans="1:10" x14ac:dyDescent="0.3">
      <c r="A137" t="s">
        <v>60</v>
      </c>
      <c r="B137" t="s">
        <v>802</v>
      </c>
      <c r="C137" t="s">
        <v>803</v>
      </c>
      <c r="D137" t="s">
        <v>6</v>
      </c>
      <c r="E137" t="s">
        <v>442</v>
      </c>
      <c r="G137" t="str" cm="1">
        <f t="array" ref="G137">_xlfn.IFS(
ISNUMBER(SEARCH("hold",C137)),"hold",
ISNUMBER(SEARCH("youth",C137)),"youth",
ISNUMBER(SEARCH("juve",C137)),"youth",
OR(ISNUMBER(SEARCH("health",B137)),ISNUMBER(SEARCH("care ",B137)),ISNUMBER(SEARCH("psych",B137)),ISNUMBER(SEARCH("medical",B137)),ISNUMBER(SEARCH("hospital",B137))),"medical",
ISNUMBER(SEARCH("correct",B137)),"correctional",
ISNUMBER(SEARCH("process",B137)),"processing",
ISNUMBER(SEARCH("detention center",B137)),"detention",
ISNUMBER(SEARCH("detention fac",B137)),"detention",
ISNUMBER(SEARCH("staging",B137)),"staging",
ISNUMBER(SEARCH("prison",B137)),"prison",
ISNUMBER(SEARCH("penet",B137)),"prison",
ISNUMBER(SEARCH("jail",B137)),"jail",
ISNUMBER(SEARCH("detention",B137)),"detention",
ISNUMBER(SEARCH("sheriff",B137)),"sheriff/police",
ISNUMBER(SEARCH("police",B137)),"sheriff/police",
TRUE,""
)</f>
        <v>detention</v>
      </c>
      <c r="H137">
        <f>INDEX(Sheet2!B:B,MATCH(C137,Sheet2!A:A,0),1)</f>
        <v>2053</v>
      </c>
      <c r="I137">
        <f>3-COUNTBLANK(D137:F137)</f>
        <v>2</v>
      </c>
      <c r="J137">
        <f>IF(I137&gt;=2,H137,0)</f>
        <v>2053</v>
      </c>
    </row>
    <row r="138" spans="1:10" x14ac:dyDescent="0.3">
      <c r="A138" t="s">
        <v>65</v>
      </c>
      <c r="B138" t="s">
        <v>533</v>
      </c>
      <c r="C138" t="s">
        <v>534</v>
      </c>
      <c r="D138" t="s">
        <v>6</v>
      </c>
      <c r="E138" t="s">
        <v>2519</v>
      </c>
      <c r="G138" t="str" cm="1">
        <f t="array" ref="G138">_xlfn.IFS(
ISNUMBER(SEARCH("hold",C138)),"hold",
ISNUMBER(SEARCH("youth",C138)),"youth",
ISNUMBER(SEARCH("juve",C138)),"youth",
OR(ISNUMBER(SEARCH("health",B138)),ISNUMBER(SEARCH("care ",B138)),ISNUMBER(SEARCH("psych",B138)),ISNUMBER(SEARCH("medical",B138)),ISNUMBER(SEARCH("hospital",B138))),"medical",
ISNUMBER(SEARCH("correct",B138)),"correctional",
ISNUMBER(SEARCH("process",B138)),"processing",
ISNUMBER(SEARCH("detention center",B138)),"detention",
ISNUMBER(SEARCH("detention fac",B138)),"detention",
ISNUMBER(SEARCH("staging",B138)),"staging",
ISNUMBER(SEARCH("prison",B138)),"prison",
ISNUMBER(SEARCH("penet",B138)),"prison",
ISNUMBER(SEARCH("jail",B138)),"jail",
ISNUMBER(SEARCH("detention",B138)),"detention",
ISNUMBER(SEARCH("sheriff",B138)),"sheriff/police",
ISNUMBER(SEARCH("police",B138)),"sheriff/police",
TRUE,""
)</f>
        <v>hold</v>
      </c>
      <c r="H138">
        <f>INDEX(Sheet2!B:B,MATCH(C138,Sheet2!A:A,0),1)</f>
        <v>2040</v>
      </c>
      <c r="I138">
        <f>3-COUNTBLANK(D138:F138)</f>
        <v>2</v>
      </c>
      <c r="J138">
        <f>IF(I138&gt;=2,H138,0)</f>
        <v>2040</v>
      </c>
    </row>
    <row r="139" spans="1:10" x14ac:dyDescent="0.3">
      <c r="A139" t="s">
        <v>1374</v>
      </c>
      <c r="B139" t="s">
        <v>1795</v>
      </c>
      <c r="C139" t="s">
        <v>1796</v>
      </c>
      <c r="D139" t="s">
        <v>31</v>
      </c>
      <c r="G139" t="str" cm="1">
        <f t="array" ref="G139">_xlfn.IFS(
ISNUMBER(SEARCH("hold",C139)),"hold",
ISNUMBER(SEARCH("youth",C139)),"youth",
ISNUMBER(SEARCH("juve",C139)),"youth",
OR(ISNUMBER(SEARCH("health",B139)),ISNUMBER(SEARCH("care ",B139)),ISNUMBER(SEARCH("psych",B139)),ISNUMBER(SEARCH("medical",B139)),ISNUMBER(SEARCH("hospital",B139))),"medical",
ISNUMBER(SEARCH("correct",B139)),"correctional",
ISNUMBER(SEARCH("process",B139)),"processing",
ISNUMBER(SEARCH("detention center",B139)),"detention",
ISNUMBER(SEARCH("detention fac",B139)),"detention",
ISNUMBER(SEARCH("staging",B139)),"staging",
ISNUMBER(SEARCH("prison",B139)),"prison",
ISNUMBER(SEARCH("penet",B139)),"prison",
ISNUMBER(SEARCH("jail",B139)),"jail",
ISNUMBER(SEARCH("detention",B139)),"detention",
ISNUMBER(SEARCH("sheriff",B139)),"sheriff/police",
ISNUMBER(SEARCH("police",B139)),"sheriff/police",
TRUE,""
)</f>
        <v/>
      </c>
      <c r="H139">
        <f>INDEX(Sheet2!B:B,MATCH(C139,Sheet2!A:A,0),1)</f>
        <v>2</v>
      </c>
      <c r="I139">
        <f>3-COUNTBLANK(D139:F139)</f>
        <v>1</v>
      </c>
      <c r="J139">
        <f>IF(I139&gt;=2,H139,0)</f>
        <v>0</v>
      </c>
    </row>
    <row r="140" spans="1:10" x14ac:dyDescent="0.3">
      <c r="A140" t="s">
        <v>75</v>
      </c>
      <c r="B140" t="s">
        <v>718</v>
      </c>
      <c r="C140" t="s">
        <v>719</v>
      </c>
      <c r="D140" t="s">
        <v>125</v>
      </c>
      <c r="F140" t="s">
        <v>720</v>
      </c>
      <c r="G140" t="str" cm="1">
        <f t="array" ref="G140">_xlfn.IFS(
ISNUMBER(SEARCH("hold",C140)),"hold",
ISNUMBER(SEARCH("youth",C140)),"youth",
ISNUMBER(SEARCH("juve",C140)),"youth",
OR(ISNUMBER(SEARCH("health",B140)),ISNUMBER(SEARCH("care ",B140)),ISNUMBER(SEARCH("psych",B140)),ISNUMBER(SEARCH("medical",B140)),ISNUMBER(SEARCH("hospital",B140))),"medical",
ISNUMBER(SEARCH("correct",B140)),"correctional",
ISNUMBER(SEARCH("process",B140)),"processing",
ISNUMBER(SEARCH("detention center",B140)),"detention",
ISNUMBER(SEARCH("detention fac",B140)),"detention",
ISNUMBER(SEARCH("staging",B140)),"staging",
ISNUMBER(SEARCH("prison",B140)),"prison",
ISNUMBER(SEARCH("penet",B140)),"prison",
ISNUMBER(SEARCH("jail",B140)),"jail",
ISNUMBER(SEARCH("detention",B140)),"detention",
ISNUMBER(SEARCH("sheriff",B140)),"sheriff/police",
ISNUMBER(SEARCH("police",B140)),"sheriff/police",
TRUE,""
)</f>
        <v>jail</v>
      </c>
      <c r="H140">
        <f>INDEX(Sheet2!B:B,MATCH(C140,Sheet2!A:A,0),1)</f>
        <v>2023</v>
      </c>
      <c r="I140">
        <f>3-COUNTBLANK(D140:F140)</f>
        <v>2</v>
      </c>
      <c r="J140">
        <f>IF(I140&gt;=2,H140,0)</f>
        <v>2023</v>
      </c>
    </row>
    <row r="141" spans="1:10" x14ac:dyDescent="0.3">
      <c r="A141" t="s">
        <v>79</v>
      </c>
      <c r="B141" t="s">
        <v>1994</v>
      </c>
      <c r="C141" t="s">
        <v>1958</v>
      </c>
      <c r="D141" t="s">
        <v>42</v>
      </c>
      <c r="F141" t="s">
        <v>2337</v>
      </c>
      <c r="G141" t="str" cm="1">
        <f t="array" ref="G141">_xlfn.IFS(
ISNUMBER(SEARCH("hold",C141)),"hold",
ISNUMBER(SEARCH("youth",C141)),"youth",
ISNUMBER(SEARCH("juve",C141)),"youth",
OR(ISNUMBER(SEARCH("health",B141)),ISNUMBER(SEARCH("care ",B141)),ISNUMBER(SEARCH("psych",B141)),ISNUMBER(SEARCH("medical",B141)),ISNUMBER(SEARCH("hospital",B141))),"medical",
ISNUMBER(SEARCH("correct",B141)),"correctional",
ISNUMBER(SEARCH("process",B141)),"processing",
ISNUMBER(SEARCH("detention center",B141)),"detention",
ISNUMBER(SEARCH("detention fac",B141)),"detention",
ISNUMBER(SEARCH("staging",B141)),"staging",
ISNUMBER(SEARCH("prison",B141)),"prison",
ISNUMBER(SEARCH("penet",B141)),"prison",
ISNUMBER(SEARCH("jail",B141)),"jail",
ISNUMBER(SEARCH("detention",B141)),"detention",
ISNUMBER(SEARCH("sheriff",B141)),"sheriff/police",
ISNUMBER(SEARCH("police",B141)),"sheriff/police",
TRUE,""
)</f>
        <v>correctional</v>
      </c>
      <c r="H141">
        <f>INDEX(Sheet2!B:B,MATCH(C141,Sheet2!A:A,0),1)</f>
        <v>2018</v>
      </c>
      <c r="I141">
        <f>3-COUNTBLANK(D141:F141)</f>
        <v>2</v>
      </c>
      <c r="J141">
        <f>IF(I141&gt;=2,H141,0)</f>
        <v>2018</v>
      </c>
    </row>
    <row r="142" spans="1:10" x14ac:dyDescent="0.3">
      <c r="A142" t="s">
        <v>84</v>
      </c>
      <c r="B142" t="s">
        <v>1403</v>
      </c>
      <c r="C142" t="s">
        <v>1404</v>
      </c>
      <c r="D142" t="s">
        <v>23</v>
      </c>
      <c r="E142" t="s">
        <v>2459</v>
      </c>
      <c r="G142" t="str" cm="1">
        <f t="array" ref="G142">_xlfn.IFS(
ISNUMBER(SEARCH("hold",C142)),"hold",
ISNUMBER(SEARCH("youth",C142)),"youth",
ISNUMBER(SEARCH("juve",C142)),"youth",
OR(ISNUMBER(SEARCH("health",B142)),ISNUMBER(SEARCH("care ",B142)),ISNUMBER(SEARCH("psych",B142)),ISNUMBER(SEARCH("medical",B142)),ISNUMBER(SEARCH("hospital",B142))),"medical",
ISNUMBER(SEARCH("correct",B142)),"correctional",
ISNUMBER(SEARCH("process",B142)),"processing",
ISNUMBER(SEARCH("detention center",B142)),"detention",
ISNUMBER(SEARCH("detention fac",B142)),"detention",
ISNUMBER(SEARCH("staging",B142)),"staging",
ISNUMBER(SEARCH("prison",B142)),"prison",
ISNUMBER(SEARCH("penet",B142)),"prison",
ISNUMBER(SEARCH("jail",B142)),"jail",
ISNUMBER(SEARCH("detention",B142)),"detention",
ISNUMBER(SEARCH("sheriff",B142)),"sheriff/police",
ISNUMBER(SEARCH("police",B142)),"sheriff/police",
TRUE,""
)</f>
        <v>hold</v>
      </c>
      <c r="H142">
        <f>INDEX(Sheet2!B:B,MATCH(C142,Sheet2!A:A,0),1)</f>
        <v>2007</v>
      </c>
      <c r="I142">
        <f>3-COUNTBLANK(D142:F142)</f>
        <v>2</v>
      </c>
      <c r="J142">
        <f>IF(I142&gt;=2,H142,0)</f>
        <v>2007</v>
      </c>
    </row>
    <row r="143" spans="1:10" x14ac:dyDescent="0.3">
      <c r="A143" t="s">
        <v>89</v>
      </c>
      <c r="B143" t="s">
        <v>634</v>
      </c>
      <c r="C143" t="s">
        <v>635</v>
      </c>
      <c r="D143" t="s">
        <v>141</v>
      </c>
      <c r="E143" t="s">
        <v>2513</v>
      </c>
      <c r="G143" t="str" cm="1">
        <f t="array" ref="G143">_xlfn.IFS(
ISNUMBER(SEARCH("hold",C143)),"hold",
ISNUMBER(SEARCH("youth",C143)),"youth",
ISNUMBER(SEARCH("juve",C143)),"youth",
OR(ISNUMBER(SEARCH("health",B143)),ISNUMBER(SEARCH("care ",B143)),ISNUMBER(SEARCH("psych",B143)),ISNUMBER(SEARCH("medical",B143)),ISNUMBER(SEARCH("hospital",B143))),"medical",
ISNUMBER(SEARCH("correct",B143)),"correctional",
ISNUMBER(SEARCH("process",B143)),"processing",
ISNUMBER(SEARCH("detention center",B143)),"detention",
ISNUMBER(SEARCH("detention fac",B143)),"detention",
ISNUMBER(SEARCH("staging",B143)),"staging",
ISNUMBER(SEARCH("prison",B143)),"prison",
ISNUMBER(SEARCH("penet",B143)),"prison",
ISNUMBER(SEARCH("jail",B143)),"jail",
ISNUMBER(SEARCH("detention",B143)),"detention",
ISNUMBER(SEARCH("sheriff",B143)),"sheriff/police",
ISNUMBER(SEARCH("police",B143)),"sheriff/police",
TRUE,""
)</f>
        <v>hold</v>
      </c>
      <c r="H143">
        <f>INDEX(Sheet2!B:B,MATCH(C143,Sheet2!A:A,0),1)</f>
        <v>1998</v>
      </c>
      <c r="I143">
        <f>3-COUNTBLANK(D143:F143)</f>
        <v>2</v>
      </c>
      <c r="J143">
        <f>IF(I143&gt;=2,H143,0)</f>
        <v>1998</v>
      </c>
    </row>
    <row r="144" spans="1:10" x14ac:dyDescent="0.3">
      <c r="A144" t="s">
        <v>92</v>
      </c>
      <c r="B144" t="s">
        <v>352</v>
      </c>
      <c r="C144" t="s">
        <v>353</v>
      </c>
      <c r="D144" t="s">
        <v>6</v>
      </c>
      <c r="F144" t="s">
        <v>2320</v>
      </c>
      <c r="G144" t="str" cm="1">
        <f t="array" ref="G144">_xlfn.IFS(
ISNUMBER(SEARCH("hold",C144)),"hold",
ISNUMBER(SEARCH("youth",C144)),"youth",
ISNUMBER(SEARCH("juve",C144)),"youth",
OR(ISNUMBER(SEARCH("health",B144)),ISNUMBER(SEARCH("care ",B144)),ISNUMBER(SEARCH("psych",B144)),ISNUMBER(SEARCH("medical",B144)),ISNUMBER(SEARCH("hospital",B144))),"medical",
ISNUMBER(SEARCH("correct",B144)),"correctional",
ISNUMBER(SEARCH("process",B144)),"processing",
ISNUMBER(SEARCH("detention center",B144)),"detention",
ISNUMBER(SEARCH("detention fac",B144)),"detention",
ISNUMBER(SEARCH("staging",B144)),"staging",
ISNUMBER(SEARCH("prison",B144)),"prison",
ISNUMBER(SEARCH("penet",B144)),"prison",
ISNUMBER(SEARCH("jail",B144)),"jail",
ISNUMBER(SEARCH("detention",B144)),"detention",
ISNUMBER(SEARCH("sheriff",B144)),"sheriff/police",
ISNUMBER(SEARCH("police",B144)),"sheriff/police",
TRUE,""
)</f>
        <v>detention</v>
      </c>
      <c r="H144">
        <f>INDEX(Sheet2!B:B,MATCH(C144,Sheet2!A:A,0),1)</f>
        <v>1954</v>
      </c>
      <c r="I144">
        <f>3-COUNTBLANK(D144:F144)</f>
        <v>2</v>
      </c>
      <c r="J144">
        <f>IF(I144&gt;=2,H144,0)</f>
        <v>1954</v>
      </c>
    </row>
    <row r="145" spans="1:10" x14ac:dyDescent="0.3">
      <c r="A145" t="s">
        <v>96</v>
      </c>
      <c r="B145" t="s">
        <v>2531</v>
      </c>
      <c r="C145" t="s">
        <v>1155</v>
      </c>
      <c r="D145" t="s">
        <v>50</v>
      </c>
      <c r="E145" s="3" t="s">
        <v>2528</v>
      </c>
      <c r="G145" t="str" cm="1">
        <f t="array" ref="G145">_xlfn.IFS(
ISNUMBER(SEARCH("hold",C145)),"hold",
ISNUMBER(SEARCH("youth",C145)),"youth",
ISNUMBER(SEARCH("juve",C145)),"youth",
OR(ISNUMBER(SEARCH("health",B145)),ISNUMBER(SEARCH("care ",B145)),ISNUMBER(SEARCH("psych",B145)),ISNUMBER(SEARCH("medical",B145)),ISNUMBER(SEARCH("hospital",B145))),"medical",
ISNUMBER(SEARCH("correct",B145)),"correctional",
ISNUMBER(SEARCH("process",B145)),"processing",
ISNUMBER(SEARCH("detention center",B145)),"detention",
ISNUMBER(SEARCH("detention fac",B145)),"detention",
ISNUMBER(SEARCH("staging",B145)),"staging",
ISNUMBER(SEARCH("prison",B145)),"prison",
ISNUMBER(SEARCH("penet",B145)),"prison",
ISNUMBER(SEARCH("jail",B145)),"jail",
ISNUMBER(SEARCH("detention",B145)),"detention",
ISNUMBER(SEARCH("sheriff",B145)),"sheriff/police",
ISNUMBER(SEARCH("police",B145)),"sheriff/police",
TRUE,""
)</f>
        <v>jail</v>
      </c>
      <c r="H145">
        <f>INDEX(Sheet2!B:B,MATCH(C145,Sheet2!A:A,0),1)</f>
        <v>1914</v>
      </c>
      <c r="I145">
        <f>3-COUNTBLANK(D145:F145)</f>
        <v>2</v>
      </c>
      <c r="J145">
        <f>IF(I145&gt;=2,H145,0)</f>
        <v>1914</v>
      </c>
    </row>
    <row r="146" spans="1:10" x14ac:dyDescent="0.3">
      <c r="A146" t="s">
        <v>100</v>
      </c>
      <c r="B146" t="s">
        <v>526</v>
      </c>
      <c r="C146" t="s">
        <v>527</v>
      </c>
      <c r="D146" t="s">
        <v>125</v>
      </c>
      <c r="E146" t="s">
        <v>531</v>
      </c>
      <c r="G146" t="str" cm="1">
        <f t="array" ref="G146">_xlfn.IFS(
ISNUMBER(SEARCH("hold",C146)),"hold",
ISNUMBER(SEARCH("youth",C146)),"youth",
ISNUMBER(SEARCH("juve",C146)),"youth",
OR(ISNUMBER(SEARCH("health",B146)),ISNUMBER(SEARCH("care ",B146)),ISNUMBER(SEARCH("psych",B146)),ISNUMBER(SEARCH("medical",B146)),ISNUMBER(SEARCH("hospital",B146))),"medical",
ISNUMBER(SEARCH("correct",B146)),"correctional",
ISNUMBER(SEARCH("process",B146)),"processing",
ISNUMBER(SEARCH("detention center",B146)),"detention",
ISNUMBER(SEARCH("detention fac",B146)),"detention",
ISNUMBER(SEARCH("staging",B146)),"staging",
ISNUMBER(SEARCH("prison",B146)),"prison",
ISNUMBER(SEARCH("penet",B146)),"prison",
ISNUMBER(SEARCH("jail",B146)),"jail",
ISNUMBER(SEARCH("detention",B146)),"detention",
ISNUMBER(SEARCH("sheriff",B146)),"sheriff/police",
ISNUMBER(SEARCH("police",B146)),"sheriff/police",
TRUE,""
)</f>
        <v>hold</v>
      </c>
      <c r="H146">
        <f>INDEX(Sheet2!B:B,MATCH(C146,Sheet2!A:A,0),1)</f>
        <v>1911</v>
      </c>
      <c r="I146">
        <f>3-COUNTBLANK(D146:F146)</f>
        <v>2</v>
      </c>
      <c r="J146">
        <f>IF(I146&gt;=2,H146,0)</f>
        <v>1911</v>
      </c>
    </row>
    <row r="147" spans="1:10" x14ac:dyDescent="0.3">
      <c r="A147" t="s">
        <v>103</v>
      </c>
      <c r="B147" t="s">
        <v>1781</v>
      </c>
      <c r="C147" t="s">
        <v>1782</v>
      </c>
      <c r="D147" t="s">
        <v>170</v>
      </c>
      <c r="F147" t="s">
        <v>2360</v>
      </c>
      <c r="G147" t="str" cm="1">
        <f t="array" ref="G147">_xlfn.IFS(
ISNUMBER(SEARCH("hold",C147)),"hold",
ISNUMBER(SEARCH("youth",C147)),"youth",
ISNUMBER(SEARCH("juve",C147)),"youth",
OR(ISNUMBER(SEARCH("health",B147)),ISNUMBER(SEARCH("care ",B147)),ISNUMBER(SEARCH("psych",B147)),ISNUMBER(SEARCH("medical",B147)),ISNUMBER(SEARCH("hospital",B147))),"medical",
ISNUMBER(SEARCH("correct",B147)),"correctional",
ISNUMBER(SEARCH("process",B147)),"processing",
ISNUMBER(SEARCH("detention center",B147)),"detention",
ISNUMBER(SEARCH("detention fac",B147)),"detention",
ISNUMBER(SEARCH("staging",B147)),"staging",
ISNUMBER(SEARCH("prison",B147)),"prison",
ISNUMBER(SEARCH("penet",B147)),"prison",
ISNUMBER(SEARCH("jail",B147)),"jail",
ISNUMBER(SEARCH("detention",B147)),"detention",
ISNUMBER(SEARCH("sheriff",B147)),"sheriff/police",
ISNUMBER(SEARCH("police",B147)),"sheriff/police",
TRUE,""
)</f>
        <v>jail</v>
      </c>
      <c r="H147">
        <f>INDEX(Sheet2!B:B,MATCH(C147,Sheet2!A:A,0),1)</f>
        <v>1863</v>
      </c>
      <c r="I147">
        <f>3-COUNTBLANK(D147:F147)</f>
        <v>2</v>
      </c>
      <c r="J147">
        <f>IF(I147&gt;=2,H147,0)</f>
        <v>1863</v>
      </c>
    </row>
    <row r="148" spans="1:10" x14ac:dyDescent="0.3">
      <c r="A148" t="s">
        <v>106</v>
      </c>
      <c r="B148" t="s">
        <v>658</v>
      </c>
      <c r="C148" t="s">
        <v>659</v>
      </c>
      <c r="D148" t="s">
        <v>72</v>
      </c>
      <c r="G148" t="str" cm="1">
        <f t="array" ref="G148">_xlfn.IFS(
ISNUMBER(SEARCH("hold",C148)),"hold",
ISNUMBER(SEARCH("youth",C148)),"youth",
ISNUMBER(SEARCH("juve",C148)),"youth",
OR(ISNUMBER(SEARCH("health",B148)),ISNUMBER(SEARCH("care ",B148)),ISNUMBER(SEARCH("psych",B148)),ISNUMBER(SEARCH("medical",B148)),ISNUMBER(SEARCH("hospital",B148))),"medical",
ISNUMBER(SEARCH("correct",B148)),"correctional",
ISNUMBER(SEARCH("process",B148)),"processing",
ISNUMBER(SEARCH("detention center",B148)),"detention",
ISNUMBER(SEARCH("detention fac",B148)),"detention",
ISNUMBER(SEARCH("staging",B148)),"staging",
ISNUMBER(SEARCH("prison",B148)),"prison",
ISNUMBER(SEARCH("penet",B148)),"prison",
ISNUMBER(SEARCH("jail",B148)),"jail",
ISNUMBER(SEARCH("detention",B148)),"detention",
ISNUMBER(SEARCH("sheriff",B148)),"sheriff/police",
ISNUMBER(SEARCH("police",B148)),"sheriff/police",
TRUE,""
)</f>
        <v>detention</v>
      </c>
      <c r="H148">
        <f>INDEX(Sheet2!B:B,MATCH(C148,Sheet2!A:A,0),1)</f>
        <v>1845</v>
      </c>
      <c r="I148">
        <f>3-COUNTBLANK(D148:F148)</f>
        <v>1</v>
      </c>
      <c r="J148">
        <f>IF(I148&gt;=2,H148,0)</f>
        <v>0</v>
      </c>
    </row>
    <row r="149" spans="1:10" x14ac:dyDescent="0.3">
      <c r="A149" t="s">
        <v>109</v>
      </c>
      <c r="B149" t="s">
        <v>1211</v>
      </c>
      <c r="C149" t="s">
        <v>1212</v>
      </c>
      <c r="E149" t="s">
        <v>2514</v>
      </c>
      <c r="G149" t="str" cm="1">
        <f t="array" ref="G149">_xlfn.IFS(
ISNUMBER(SEARCH("hold",C149)),"hold",
ISNUMBER(SEARCH("youth",C149)),"youth",
ISNUMBER(SEARCH("juve",C149)),"youth",
OR(ISNUMBER(SEARCH("health",B149)),ISNUMBER(SEARCH("care ",B149)),ISNUMBER(SEARCH("psych",B149)),ISNUMBER(SEARCH("medical",B149)),ISNUMBER(SEARCH("hospital",B149))),"medical",
ISNUMBER(SEARCH("correct",B149)),"correctional",
ISNUMBER(SEARCH("process",B149)),"processing",
ISNUMBER(SEARCH("detention center",B149)),"detention",
ISNUMBER(SEARCH("detention fac",B149)),"detention",
ISNUMBER(SEARCH("staging",B149)),"staging",
ISNUMBER(SEARCH("prison",B149)),"prison",
ISNUMBER(SEARCH("penet",B149)),"prison",
ISNUMBER(SEARCH("jail",B149)),"jail",
ISNUMBER(SEARCH("detention",B149)),"detention",
ISNUMBER(SEARCH("sheriff",B149)),"sheriff/police",
ISNUMBER(SEARCH("police",B149)),"sheriff/police",
TRUE,""
)</f>
        <v>hold</v>
      </c>
      <c r="H149">
        <f>INDEX(Sheet2!B:B,MATCH(C149,Sheet2!A:A,0),1)</f>
        <v>1812</v>
      </c>
      <c r="I149">
        <f>3-COUNTBLANK(D149:F149)</f>
        <v>1</v>
      </c>
      <c r="J149">
        <f>IF(I149&gt;=2,H149,0)</f>
        <v>0</v>
      </c>
    </row>
    <row r="150" spans="1:10" x14ac:dyDescent="0.3">
      <c r="A150" t="s">
        <v>113</v>
      </c>
      <c r="B150" t="s">
        <v>1236</v>
      </c>
      <c r="C150" t="s">
        <v>1237</v>
      </c>
      <c r="E150" t="s">
        <v>2515</v>
      </c>
      <c r="G150" t="str" cm="1">
        <f t="array" ref="G150">_xlfn.IFS(
ISNUMBER(SEARCH("hold",C150)),"hold",
ISNUMBER(SEARCH("youth",C150)),"youth",
ISNUMBER(SEARCH("juve",C150)),"youth",
OR(ISNUMBER(SEARCH("health",B150)),ISNUMBER(SEARCH("care ",B150)),ISNUMBER(SEARCH("psych",B150)),ISNUMBER(SEARCH("medical",B150)),ISNUMBER(SEARCH("hospital",B150))),"medical",
ISNUMBER(SEARCH("correct",B150)),"correctional",
ISNUMBER(SEARCH("process",B150)),"processing",
ISNUMBER(SEARCH("detention center",B150)),"detention",
ISNUMBER(SEARCH("detention fac",B150)),"detention",
ISNUMBER(SEARCH("staging",B150)),"staging",
ISNUMBER(SEARCH("prison",B150)),"prison",
ISNUMBER(SEARCH("penet",B150)),"prison",
ISNUMBER(SEARCH("jail",B150)),"jail",
ISNUMBER(SEARCH("detention",B150)),"detention",
ISNUMBER(SEARCH("sheriff",B150)),"sheriff/police",
ISNUMBER(SEARCH("police",B150)),"sheriff/police",
TRUE,""
)</f>
        <v>hold</v>
      </c>
      <c r="H150">
        <f>INDEX(Sheet2!B:B,MATCH(C150,Sheet2!A:A,0),1)</f>
        <v>1786</v>
      </c>
      <c r="I150">
        <f>3-COUNTBLANK(D150:F150)</f>
        <v>1</v>
      </c>
      <c r="J150">
        <f>IF(I150&gt;=2,H150,0)</f>
        <v>0</v>
      </c>
    </row>
    <row r="151" spans="1:10" x14ac:dyDescent="0.3">
      <c r="A151" t="s">
        <v>117</v>
      </c>
      <c r="B151" t="s">
        <v>1268</v>
      </c>
      <c r="C151" t="s">
        <v>1269</v>
      </c>
      <c r="G151" t="str" cm="1">
        <f t="array" ref="G151">_xlfn.IFS(
ISNUMBER(SEARCH("hold",C151)),"hold",
ISNUMBER(SEARCH("youth",C151)),"youth",
ISNUMBER(SEARCH("juve",C151)),"youth",
OR(ISNUMBER(SEARCH("health",B151)),ISNUMBER(SEARCH("care ",B151)),ISNUMBER(SEARCH("psych",B151)),ISNUMBER(SEARCH("medical",B151)),ISNUMBER(SEARCH("hospital",B151))),"medical",
ISNUMBER(SEARCH("correct",B151)),"correctional",
ISNUMBER(SEARCH("process",B151)),"processing",
ISNUMBER(SEARCH("detention center",B151)),"detention",
ISNUMBER(SEARCH("detention fac",B151)),"detention",
ISNUMBER(SEARCH("staging",B151)),"staging",
ISNUMBER(SEARCH("prison",B151)),"prison",
ISNUMBER(SEARCH("penet",B151)),"prison",
ISNUMBER(SEARCH("jail",B151)),"jail",
ISNUMBER(SEARCH("detention",B151)),"detention",
ISNUMBER(SEARCH("sheriff",B151)),"sheriff/police",
ISNUMBER(SEARCH("police",B151)),"sheriff/police",
TRUE,""
)</f>
        <v>hold</v>
      </c>
      <c r="H151">
        <f>INDEX(Sheet2!B:B,MATCH(C151,Sheet2!A:A,0),1)</f>
        <v>1770</v>
      </c>
      <c r="I151">
        <f>3-COUNTBLANK(D151:F151)</f>
        <v>0</v>
      </c>
      <c r="J151">
        <f>IF(I151&gt;=2,H151,0)</f>
        <v>0</v>
      </c>
    </row>
    <row r="152" spans="1:10" x14ac:dyDescent="0.3">
      <c r="A152" t="s">
        <v>122</v>
      </c>
      <c r="B152" t="s">
        <v>1497</v>
      </c>
      <c r="C152" t="s">
        <v>1498</v>
      </c>
      <c r="D152" t="s">
        <v>6</v>
      </c>
      <c r="F152" t="s">
        <v>2383</v>
      </c>
      <c r="G152" t="str" cm="1">
        <f t="array" ref="G152">_xlfn.IFS(
ISNUMBER(SEARCH("hold",C152)),"hold",
ISNUMBER(SEARCH("youth",C152)),"youth",
ISNUMBER(SEARCH("juve",C152)),"youth",
OR(ISNUMBER(SEARCH("health",B152)),ISNUMBER(SEARCH("care ",B152)),ISNUMBER(SEARCH("psych",B152)),ISNUMBER(SEARCH("medical",B152)),ISNUMBER(SEARCH("hospital",B152))),"medical",
ISNUMBER(SEARCH("correct",B152)),"correctional",
ISNUMBER(SEARCH("process",B152)),"processing",
ISNUMBER(SEARCH("detention center",B152)),"detention",
ISNUMBER(SEARCH("detention fac",B152)),"detention",
ISNUMBER(SEARCH("staging",B152)),"staging",
ISNUMBER(SEARCH("prison",B152)),"prison",
ISNUMBER(SEARCH("penet",B152)),"prison",
ISNUMBER(SEARCH("jail",B152)),"jail",
ISNUMBER(SEARCH("detention",B152)),"detention",
ISNUMBER(SEARCH("sheriff",B152)),"sheriff/police",
ISNUMBER(SEARCH("police",B152)),"sheriff/police",
TRUE,""
)</f>
        <v>jail</v>
      </c>
      <c r="H152">
        <f>INDEX(Sheet2!B:B,MATCH(C152,Sheet2!A:A,0),1)</f>
        <v>1659</v>
      </c>
      <c r="I152">
        <f>3-COUNTBLANK(D152:F152)</f>
        <v>2</v>
      </c>
      <c r="J152">
        <f>IF(I152&gt;=2,H152,0)</f>
        <v>1659</v>
      </c>
    </row>
    <row r="153" spans="1:10" x14ac:dyDescent="0.3">
      <c r="A153" t="s">
        <v>126</v>
      </c>
      <c r="B153" t="s">
        <v>1562</v>
      </c>
      <c r="C153" t="s">
        <v>1563</v>
      </c>
      <c r="D153" t="s">
        <v>194</v>
      </c>
      <c r="E153" t="s">
        <v>2520</v>
      </c>
      <c r="G153" t="str" cm="1">
        <f t="array" ref="G153">_xlfn.IFS(
ISNUMBER(SEARCH("hold",C153)),"hold",
ISNUMBER(SEARCH("youth",C153)),"youth",
ISNUMBER(SEARCH("juve",C153)),"youth",
OR(ISNUMBER(SEARCH("health",B153)),ISNUMBER(SEARCH("care ",B153)),ISNUMBER(SEARCH("psych",B153)),ISNUMBER(SEARCH("medical",B153)),ISNUMBER(SEARCH("hospital",B153))),"medical",
ISNUMBER(SEARCH("correct",B153)),"correctional",
ISNUMBER(SEARCH("process",B153)),"processing",
ISNUMBER(SEARCH("detention center",B153)),"detention",
ISNUMBER(SEARCH("detention fac",B153)),"detention",
ISNUMBER(SEARCH("staging",B153)),"staging",
ISNUMBER(SEARCH("prison",B153)),"prison",
ISNUMBER(SEARCH("penet",B153)),"prison",
ISNUMBER(SEARCH("jail",B153)),"jail",
ISNUMBER(SEARCH("detention",B153)),"detention",
ISNUMBER(SEARCH("sheriff",B153)),"sheriff/police",
ISNUMBER(SEARCH("police",B153)),"sheriff/police",
TRUE,""
)</f>
        <v>detention</v>
      </c>
      <c r="H153">
        <f>INDEX(Sheet2!B:B,MATCH(C153,Sheet2!A:A,0),1)</f>
        <v>1657</v>
      </c>
      <c r="I153">
        <f>3-COUNTBLANK(D153:F153)</f>
        <v>2</v>
      </c>
      <c r="J153">
        <f>IF(I153&gt;=2,H153,0)</f>
        <v>1657</v>
      </c>
    </row>
    <row r="154" spans="1:10" x14ac:dyDescent="0.3">
      <c r="A154" t="s">
        <v>130</v>
      </c>
      <c r="B154" t="s">
        <v>577</v>
      </c>
      <c r="C154" t="s">
        <v>578</v>
      </c>
      <c r="D154" t="s">
        <v>204</v>
      </c>
      <c r="E154" t="s">
        <v>575</v>
      </c>
      <c r="G154" t="str" cm="1">
        <f t="array" ref="G154">_xlfn.IFS(
ISNUMBER(SEARCH("hold",C154)),"hold",
ISNUMBER(SEARCH("youth",C154)),"youth",
ISNUMBER(SEARCH("juve",C154)),"youth",
OR(ISNUMBER(SEARCH("health",B154)),ISNUMBER(SEARCH("care ",B154)),ISNUMBER(SEARCH("psych",B154)),ISNUMBER(SEARCH("medical",B154)),ISNUMBER(SEARCH("hospital",B154))),"medical",
ISNUMBER(SEARCH("correct",B154)),"correctional",
ISNUMBER(SEARCH("process",B154)),"processing",
ISNUMBER(SEARCH("detention center",B154)),"detention",
ISNUMBER(SEARCH("detention fac",B154)),"detention",
ISNUMBER(SEARCH("staging",B154)),"staging",
ISNUMBER(SEARCH("prison",B154)),"prison",
ISNUMBER(SEARCH("penet",B154)),"prison",
ISNUMBER(SEARCH("jail",B154)),"jail",
ISNUMBER(SEARCH("detention",B154)),"detention",
ISNUMBER(SEARCH("sheriff",B154)),"sheriff/police",
ISNUMBER(SEARCH("police",B154)),"sheriff/police",
TRUE,""
)</f>
        <v>hold</v>
      </c>
      <c r="H154">
        <f>INDEX(Sheet2!B:B,MATCH(C154,Sheet2!A:A,0),1)</f>
        <v>1653</v>
      </c>
      <c r="I154">
        <f>3-COUNTBLANK(D154:F154)</f>
        <v>2</v>
      </c>
      <c r="J154">
        <f>IF(I154&gt;=2,H154,0)</f>
        <v>1653</v>
      </c>
    </row>
    <row r="155" spans="1:10" x14ac:dyDescent="0.3">
      <c r="A155" t="s">
        <v>1943</v>
      </c>
      <c r="B155" t="s">
        <v>1506</v>
      </c>
      <c r="C155" t="s">
        <v>1507</v>
      </c>
      <c r="D155" t="s">
        <v>27</v>
      </c>
      <c r="F155" t="s">
        <v>2322</v>
      </c>
      <c r="G155" t="str" cm="1">
        <f t="array" ref="G155">_xlfn.IFS(
ISNUMBER(SEARCH("hold",C155)),"hold",
ISNUMBER(SEARCH("youth",C155)),"youth",
ISNUMBER(SEARCH("juve",C155)),"youth",
OR(ISNUMBER(SEARCH("health",B155)),ISNUMBER(SEARCH("care ",B155)),ISNUMBER(SEARCH("psych",B155)),ISNUMBER(SEARCH("medical",B155)),ISNUMBER(SEARCH("hospital",B155))),"medical",
ISNUMBER(SEARCH("correct",B155)),"correctional",
ISNUMBER(SEARCH("process",B155)),"processing",
ISNUMBER(SEARCH("detention center",B155)),"detention",
ISNUMBER(SEARCH("detention fac",B155)),"detention",
ISNUMBER(SEARCH("staging",B155)),"staging",
ISNUMBER(SEARCH("prison",B155)),"prison",
ISNUMBER(SEARCH("penet",B155)),"prison",
ISNUMBER(SEARCH("jail",B155)),"jail",
ISNUMBER(SEARCH("detention",B155)),"detention",
ISNUMBER(SEARCH("sheriff",B155)),"sheriff/police",
ISNUMBER(SEARCH("police",B155)),"sheriff/police",
TRUE,""
)</f>
        <v>jail</v>
      </c>
      <c r="H155">
        <f>INDEX(Sheet2!B:B,MATCH(C155,Sheet2!A:A,0),1)</f>
        <v>1625</v>
      </c>
      <c r="I155">
        <f>3-COUNTBLANK(D155:F155)</f>
        <v>2</v>
      </c>
      <c r="J155">
        <f>IF(I155&gt;=2,H155,0)</f>
        <v>1625</v>
      </c>
    </row>
    <row r="156" spans="1:10" x14ac:dyDescent="0.3">
      <c r="A156" t="s">
        <v>138</v>
      </c>
      <c r="B156" t="s">
        <v>1824</v>
      </c>
      <c r="C156" t="s">
        <v>1825</v>
      </c>
      <c r="D156" t="s">
        <v>170</v>
      </c>
      <c r="E156" t="s">
        <v>2526</v>
      </c>
      <c r="G156" t="str" cm="1">
        <f t="array" ref="G156">_xlfn.IFS(
ISNUMBER(SEARCH("hold",C156)),"hold",
ISNUMBER(SEARCH("youth",C156)),"youth",
ISNUMBER(SEARCH("juve",C156)),"youth",
OR(ISNUMBER(SEARCH("health",B156)),ISNUMBER(SEARCH("care ",B156)),ISNUMBER(SEARCH("psych",B156)),ISNUMBER(SEARCH("medical",B156)),ISNUMBER(SEARCH("hospital",B156))),"medical",
ISNUMBER(SEARCH("correct",B156)),"correctional",
ISNUMBER(SEARCH("process",B156)),"processing",
ISNUMBER(SEARCH("detention center",B156)),"detention",
ISNUMBER(SEARCH("detention fac",B156)),"detention",
ISNUMBER(SEARCH("staging",B156)),"staging",
ISNUMBER(SEARCH("prison",B156)),"prison",
ISNUMBER(SEARCH("penet",B156)),"prison",
ISNUMBER(SEARCH("jail",B156)),"jail",
ISNUMBER(SEARCH("detention",B156)),"detention",
ISNUMBER(SEARCH("sheriff",B156)),"sheriff/police",
ISNUMBER(SEARCH("police",B156)),"sheriff/police",
TRUE,""
)</f>
        <v>correctional</v>
      </c>
      <c r="H156">
        <f>INDEX(Sheet2!B:B,MATCH(C156,Sheet2!A:A,0),1)</f>
        <v>1607</v>
      </c>
      <c r="I156">
        <f>3-COUNTBLANK(D156:F156)</f>
        <v>2</v>
      </c>
      <c r="J156">
        <f>IF(I156&gt;=2,H156,0)</f>
        <v>1607</v>
      </c>
    </row>
    <row r="157" spans="1:10" x14ac:dyDescent="0.3">
      <c r="A157" t="s">
        <v>135</v>
      </c>
      <c r="B157" t="s">
        <v>1307</v>
      </c>
      <c r="C157" t="s">
        <v>1308</v>
      </c>
      <c r="D157" t="s">
        <v>72</v>
      </c>
      <c r="E157" t="s">
        <v>2223</v>
      </c>
      <c r="G157" t="str" cm="1">
        <f t="array" ref="G157">_xlfn.IFS(
ISNUMBER(SEARCH("hold",C157)),"hold",
ISNUMBER(SEARCH("youth",C157)),"youth",
ISNUMBER(SEARCH("juve",C157)),"youth",
OR(ISNUMBER(SEARCH("health",B157)),ISNUMBER(SEARCH("care ",B157)),ISNUMBER(SEARCH("psych",B157)),ISNUMBER(SEARCH("medical",B157)),ISNUMBER(SEARCH("hospital",B157))),"medical",
ISNUMBER(SEARCH("correct",B157)),"correctional",
ISNUMBER(SEARCH("process",B157)),"processing",
ISNUMBER(SEARCH("detention center",B157)),"detention",
ISNUMBER(SEARCH("detention fac",B157)),"detention",
ISNUMBER(SEARCH("staging",B157)),"staging",
ISNUMBER(SEARCH("prison",B157)),"prison",
ISNUMBER(SEARCH("penet",B157)),"prison",
ISNUMBER(SEARCH("jail",B157)),"jail",
ISNUMBER(SEARCH("detention",B157)),"detention",
ISNUMBER(SEARCH("sheriff",B157)),"sheriff/police",
ISNUMBER(SEARCH("police",B157)),"sheriff/police",
TRUE,""
)</f>
        <v>hold</v>
      </c>
      <c r="H157">
        <f>INDEX(Sheet2!B:B,MATCH(C157,Sheet2!A:A,0),1)</f>
        <v>1535</v>
      </c>
      <c r="I157">
        <f>3-COUNTBLANK(D157:F157)</f>
        <v>2</v>
      </c>
      <c r="J157">
        <f>IF(I157&gt;=2,H157,0)</f>
        <v>1535</v>
      </c>
    </row>
    <row r="158" spans="1:10" x14ac:dyDescent="0.3">
      <c r="A158" t="s">
        <v>142</v>
      </c>
      <c r="B158" t="s">
        <v>648</v>
      </c>
      <c r="C158" t="s">
        <v>649</v>
      </c>
      <c r="D158" t="s">
        <v>14</v>
      </c>
      <c r="F158" t="s">
        <v>650</v>
      </c>
      <c r="G158" t="str" cm="1">
        <f t="array" ref="G158">_xlfn.IFS(
ISNUMBER(SEARCH("hold",C158)),"hold",
ISNUMBER(SEARCH("youth",C158)),"youth",
ISNUMBER(SEARCH("juve",C158)),"youth",
OR(ISNUMBER(SEARCH("health",B158)),ISNUMBER(SEARCH("care ",B158)),ISNUMBER(SEARCH("psych",B158)),ISNUMBER(SEARCH("medical",B158)),ISNUMBER(SEARCH("hospital",B158))),"medical",
ISNUMBER(SEARCH("correct",B158)),"correctional",
ISNUMBER(SEARCH("process",B158)),"processing",
ISNUMBER(SEARCH("detention center",B158)),"detention",
ISNUMBER(SEARCH("detention fac",B158)),"detention",
ISNUMBER(SEARCH("staging",B158)),"staging",
ISNUMBER(SEARCH("prison",B158)),"prison",
ISNUMBER(SEARCH("penet",B158)),"prison",
ISNUMBER(SEARCH("jail",B158)),"jail",
ISNUMBER(SEARCH("detention",B158)),"detention",
ISNUMBER(SEARCH("sheriff",B158)),"sheriff/police",
ISNUMBER(SEARCH("police",B158)),"sheriff/police",
TRUE,""
)</f>
        <v>jail</v>
      </c>
      <c r="H158">
        <f>INDEX(Sheet2!B:B,MATCH(C158,Sheet2!A:A,0),1)</f>
        <v>1533</v>
      </c>
      <c r="I158">
        <f>3-COUNTBLANK(D158:F158)</f>
        <v>2</v>
      </c>
      <c r="J158">
        <f>IF(I158&gt;=2,H158,0)</f>
        <v>1533</v>
      </c>
    </row>
    <row r="159" spans="1:10" x14ac:dyDescent="0.3">
      <c r="A159" t="s">
        <v>146</v>
      </c>
      <c r="B159" t="s">
        <v>1458</v>
      </c>
      <c r="C159" t="s">
        <v>1459</v>
      </c>
      <c r="D159" t="s">
        <v>72</v>
      </c>
      <c r="G159" t="str" cm="1">
        <f t="array" ref="G159">_xlfn.IFS(
ISNUMBER(SEARCH("hold",C159)),"hold",
ISNUMBER(SEARCH("youth",C159)),"youth",
ISNUMBER(SEARCH("juve",C159)),"youth",
OR(ISNUMBER(SEARCH("health",B159)),ISNUMBER(SEARCH("care ",B159)),ISNUMBER(SEARCH("psych",B159)),ISNUMBER(SEARCH("medical",B159)),ISNUMBER(SEARCH("hospital",B159))),"medical",
ISNUMBER(SEARCH("correct",B159)),"correctional",
ISNUMBER(SEARCH("process",B159)),"processing",
ISNUMBER(SEARCH("detention center",B159)),"detention",
ISNUMBER(SEARCH("detention fac",B159)),"detention",
ISNUMBER(SEARCH("staging",B159)),"staging",
ISNUMBER(SEARCH("prison",B159)),"prison",
ISNUMBER(SEARCH("penet",B159)),"prison",
ISNUMBER(SEARCH("jail",B159)),"jail",
ISNUMBER(SEARCH("detention",B159)),"detention",
ISNUMBER(SEARCH("sheriff",B159)),"sheriff/police",
ISNUMBER(SEARCH("police",B159)),"sheriff/police",
TRUE,""
)</f>
        <v>detention</v>
      </c>
      <c r="H159">
        <f>INDEX(Sheet2!B:B,MATCH(C159,Sheet2!A:A,0),1)</f>
        <v>1512</v>
      </c>
      <c r="I159">
        <f>3-COUNTBLANK(D159:F159)</f>
        <v>1</v>
      </c>
      <c r="J159">
        <f>IF(I159&gt;=2,H159,0)</f>
        <v>0</v>
      </c>
    </row>
    <row r="160" spans="1:10" x14ac:dyDescent="0.3">
      <c r="A160" t="s">
        <v>149</v>
      </c>
      <c r="B160" t="s">
        <v>1670</v>
      </c>
      <c r="C160" t="s">
        <v>1671</v>
      </c>
      <c r="D160" t="s">
        <v>6</v>
      </c>
      <c r="G160" t="str" cm="1">
        <f t="array" ref="G160">_xlfn.IFS(
ISNUMBER(SEARCH("hold",C160)),"hold",
ISNUMBER(SEARCH("youth",C160)),"youth",
ISNUMBER(SEARCH("juve",C160)),"youth",
OR(ISNUMBER(SEARCH("health",B160)),ISNUMBER(SEARCH("care ",B160)),ISNUMBER(SEARCH("psych",B160)),ISNUMBER(SEARCH("medical",B160)),ISNUMBER(SEARCH("hospital",B160))),"medical",
ISNUMBER(SEARCH("correct",B160)),"correctional",
ISNUMBER(SEARCH("process",B160)),"processing",
ISNUMBER(SEARCH("detention center",B160)),"detention",
ISNUMBER(SEARCH("detention fac",B160)),"detention",
ISNUMBER(SEARCH("staging",B160)),"staging",
ISNUMBER(SEARCH("prison",B160)),"prison",
ISNUMBER(SEARCH("penet",B160)),"prison",
ISNUMBER(SEARCH("jail",B160)),"jail",
ISNUMBER(SEARCH("detention",B160)),"detention",
ISNUMBER(SEARCH("sheriff",B160)),"sheriff/police",
ISNUMBER(SEARCH("police",B160)),"sheriff/police",
TRUE,""
)</f>
        <v>correctional</v>
      </c>
      <c r="H160">
        <f>INDEX(Sheet2!B:B,MATCH(C160,Sheet2!A:A,0),1)</f>
        <v>1479</v>
      </c>
      <c r="I160">
        <f>3-COUNTBLANK(D160:F160)</f>
        <v>1</v>
      </c>
      <c r="J160">
        <f>IF(I160&gt;=2,H160,0)</f>
        <v>0</v>
      </c>
    </row>
    <row r="161" spans="1:10" x14ac:dyDescent="0.3">
      <c r="A161" t="s">
        <v>213</v>
      </c>
      <c r="B161" t="s">
        <v>1327</v>
      </c>
      <c r="C161" t="s">
        <v>1328</v>
      </c>
      <c r="D161" t="s">
        <v>129</v>
      </c>
      <c r="E161" t="s">
        <v>2521</v>
      </c>
      <c r="G161" t="str" cm="1">
        <f t="array" ref="G161">_xlfn.IFS(
ISNUMBER(SEARCH("hold",C161)),"hold",
ISNUMBER(SEARCH("youth",C161)),"youth",
ISNUMBER(SEARCH("juve",C161)),"youth",
OR(ISNUMBER(SEARCH("health",B161)),ISNUMBER(SEARCH("care ",B161)),ISNUMBER(SEARCH("psych",B161)),ISNUMBER(SEARCH("medical",B161)),ISNUMBER(SEARCH("hospital",B161))),"medical",
ISNUMBER(SEARCH("correct",B161)),"correctional",
ISNUMBER(SEARCH("process",B161)),"processing",
ISNUMBER(SEARCH("detention center",B161)),"detention",
ISNUMBER(SEARCH("detention fac",B161)),"detention",
ISNUMBER(SEARCH("staging",B161)),"staging",
ISNUMBER(SEARCH("prison",B161)),"prison",
ISNUMBER(SEARCH("penet",B161)),"prison",
ISNUMBER(SEARCH("jail",B161)),"jail",
ISNUMBER(SEARCH("detention",B161)),"detention",
ISNUMBER(SEARCH("sheriff",B161)),"sheriff/police",
ISNUMBER(SEARCH("police",B161)),"sheriff/police",
TRUE,""
)</f>
        <v>hold</v>
      </c>
      <c r="H161">
        <f>INDEX(Sheet2!B:B,MATCH(C161,Sheet2!A:A,0),1)</f>
        <v>1474</v>
      </c>
      <c r="I161">
        <f>3-COUNTBLANK(D161:F161)</f>
        <v>2</v>
      </c>
      <c r="J161">
        <f>IF(I161&gt;=2,H161,0)</f>
        <v>1474</v>
      </c>
    </row>
    <row r="162" spans="1:10" x14ac:dyDescent="0.3">
      <c r="A162" t="s">
        <v>217</v>
      </c>
      <c r="B162" t="s">
        <v>1833</v>
      </c>
      <c r="C162" t="s">
        <v>1834</v>
      </c>
      <c r="D162" t="s">
        <v>42</v>
      </c>
      <c r="E162" t="s">
        <v>2522</v>
      </c>
      <c r="G162" t="str" cm="1">
        <f t="array" ref="G162">_xlfn.IFS(
ISNUMBER(SEARCH("hold",C162)),"hold",
ISNUMBER(SEARCH("youth",C162)),"youth",
ISNUMBER(SEARCH("juve",C162)),"youth",
OR(ISNUMBER(SEARCH("health",B162)),ISNUMBER(SEARCH("care ",B162)),ISNUMBER(SEARCH("psych",B162)),ISNUMBER(SEARCH("medical",B162)),ISNUMBER(SEARCH("hospital",B162))),"medical",
ISNUMBER(SEARCH("correct",B162)),"correctional",
ISNUMBER(SEARCH("process",B162)),"processing",
ISNUMBER(SEARCH("detention center",B162)),"detention",
ISNUMBER(SEARCH("detention fac",B162)),"detention",
ISNUMBER(SEARCH("staging",B162)),"staging",
ISNUMBER(SEARCH("prison",B162)),"prison",
ISNUMBER(SEARCH("penet",B162)),"prison",
ISNUMBER(SEARCH("jail",B162)),"jail",
ISNUMBER(SEARCH("detention",B162)),"detention",
ISNUMBER(SEARCH("sheriff",B162)),"sheriff/police",
ISNUMBER(SEARCH("police",B162)),"sheriff/police",
TRUE,""
)</f>
        <v>hold</v>
      </c>
      <c r="H162">
        <f>INDEX(Sheet2!B:B,MATCH(C162,Sheet2!A:A,0),1)</f>
        <v>1469</v>
      </c>
      <c r="I162">
        <f>3-COUNTBLANK(D162:F162)</f>
        <v>2</v>
      </c>
      <c r="J162">
        <f>IF(I162&gt;=2,H162,0)</f>
        <v>1469</v>
      </c>
    </row>
    <row r="163" spans="1:10" x14ac:dyDescent="0.3">
      <c r="A163" t="s">
        <v>220</v>
      </c>
      <c r="B163" t="s">
        <v>1164</v>
      </c>
      <c r="C163" t="s">
        <v>1165</v>
      </c>
      <c r="D163" t="s">
        <v>59</v>
      </c>
      <c r="E163" t="s">
        <v>2516</v>
      </c>
      <c r="G163" t="str" cm="1">
        <f t="array" ref="G163">_xlfn.IFS(
ISNUMBER(SEARCH("hold",C163)),"hold",
ISNUMBER(SEARCH("youth",C163)),"youth",
ISNUMBER(SEARCH("juve",C163)),"youth",
OR(ISNUMBER(SEARCH("health",B163)),ISNUMBER(SEARCH("care ",B163)),ISNUMBER(SEARCH("psych",B163)),ISNUMBER(SEARCH("medical",B163)),ISNUMBER(SEARCH("hospital",B163))),"medical",
ISNUMBER(SEARCH("correct",B163)),"correctional",
ISNUMBER(SEARCH("process",B163)),"processing",
ISNUMBER(SEARCH("detention center",B163)),"detention",
ISNUMBER(SEARCH("detention fac",B163)),"detention",
ISNUMBER(SEARCH("staging",B163)),"staging",
ISNUMBER(SEARCH("prison",B163)),"prison",
ISNUMBER(SEARCH("penet",B163)),"prison",
ISNUMBER(SEARCH("jail",B163)),"jail",
ISNUMBER(SEARCH("detention",B163)),"detention",
ISNUMBER(SEARCH("sheriff",B163)),"sheriff/police",
ISNUMBER(SEARCH("police",B163)),"sheriff/police",
TRUE,""
)</f>
        <v>detention</v>
      </c>
      <c r="H163">
        <f>INDEX(Sheet2!B:B,MATCH(C163,Sheet2!A:A,0),1)</f>
        <v>1459</v>
      </c>
      <c r="I163">
        <f>3-COUNTBLANK(D163:F163)</f>
        <v>2</v>
      </c>
      <c r="J163">
        <f>IF(I163&gt;=2,H163,0)</f>
        <v>1459</v>
      </c>
    </row>
    <row r="164" spans="1:10" x14ac:dyDescent="0.3">
      <c r="A164" t="s">
        <v>153</v>
      </c>
      <c r="B164" t="s">
        <v>778</v>
      </c>
      <c r="C164" t="s">
        <v>779</v>
      </c>
      <c r="D164" t="s">
        <v>31</v>
      </c>
      <c r="E164" t="s">
        <v>2517</v>
      </c>
      <c r="G164" t="str" cm="1">
        <f t="array" ref="G164">_xlfn.IFS(
ISNUMBER(SEARCH("hold",C164)),"hold",
ISNUMBER(SEARCH("youth",C164)),"youth",
ISNUMBER(SEARCH("juve",C164)),"youth",
OR(ISNUMBER(SEARCH("health",B164)),ISNUMBER(SEARCH("care ",B164)),ISNUMBER(SEARCH("psych",B164)),ISNUMBER(SEARCH("medical",B164)),ISNUMBER(SEARCH("hospital",B164))),"medical",
ISNUMBER(SEARCH("correct",B164)),"correctional",
ISNUMBER(SEARCH("process",B164)),"processing",
ISNUMBER(SEARCH("detention center",B164)),"detention",
ISNUMBER(SEARCH("detention fac",B164)),"detention",
ISNUMBER(SEARCH("staging",B164)),"staging",
ISNUMBER(SEARCH("prison",B164)),"prison",
ISNUMBER(SEARCH("penet",B164)),"prison",
ISNUMBER(SEARCH("jail",B164)),"jail",
ISNUMBER(SEARCH("detention",B164)),"detention",
ISNUMBER(SEARCH("sheriff",B164)),"sheriff/police",
ISNUMBER(SEARCH("police",B164)),"sheriff/police",
TRUE,""
)</f>
        <v>processing</v>
      </c>
      <c r="H164">
        <f>INDEX(Sheet2!B:B,MATCH(C164,Sheet2!A:A,0),1)</f>
        <v>1451</v>
      </c>
      <c r="I164">
        <f>3-COUNTBLANK(D164:F164)</f>
        <v>2</v>
      </c>
      <c r="J164">
        <f>IF(I164&gt;=2,H164,0)</f>
        <v>1451</v>
      </c>
    </row>
    <row r="165" spans="1:10" x14ac:dyDescent="0.3">
      <c r="A165" t="s">
        <v>156</v>
      </c>
      <c r="B165" t="s">
        <v>937</v>
      </c>
      <c r="C165" t="s">
        <v>938</v>
      </c>
      <c r="D165" t="s">
        <v>216</v>
      </c>
      <c r="E165" t="s">
        <v>2518</v>
      </c>
      <c r="G165" t="str" cm="1">
        <f t="array" ref="G165">_xlfn.IFS(
ISNUMBER(SEARCH("hold",C165)),"hold",
ISNUMBER(SEARCH("youth",C165)),"youth",
ISNUMBER(SEARCH("juve",C165)),"youth",
OR(ISNUMBER(SEARCH("health",B165)),ISNUMBER(SEARCH("care ",B165)),ISNUMBER(SEARCH("psych",B165)),ISNUMBER(SEARCH("medical",B165)),ISNUMBER(SEARCH("hospital",B165))),"medical",
ISNUMBER(SEARCH("correct",B165)),"correctional",
ISNUMBER(SEARCH("process",B165)),"processing",
ISNUMBER(SEARCH("detention center",B165)),"detention",
ISNUMBER(SEARCH("detention fac",B165)),"detention",
ISNUMBER(SEARCH("staging",B165)),"staging",
ISNUMBER(SEARCH("prison",B165)),"prison",
ISNUMBER(SEARCH("penet",B165)),"prison",
ISNUMBER(SEARCH("jail",B165)),"jail",
ISNUMBER(SEARCH("detention",B165)),"detention",
ISNUMBER(SEARCH("sheriff",B165)),"sheriff/police",
ISNUMBER(SEARCH("police",B165)),"sheriff/police",
TRUE,""
)</f>
        <v>correctional</v>
      </c>
      <c r="H165">
        <f>INDEX(Sheet2!B:B,MATCH(C165,Sheet2!A:A,0),1)</f>
        <v>1432</v>
      </c>
      <c r="I165">
        <f>3-COUNTBLANK(D165:F165)</f>
        <v>2</v>
      </c>
      <c r="J165">
        <f>IF(I165&gt;=2,H165,0)</f>
        <v>1432</v>
      </c>
    </row>
    <row r="166" spans="1:10" x14ac:dyDescent="0.3">
      <c r="A166" t="s">
        <v>160</v>
      </c>
      <c r="B166" t="s">
        <v>154</v>
      </c>
      <c r="C166" t="s">
        <v>155</v>
      </c>
      <c r="D166" t="s">
        <v>72</v>
      </c>
      <c r="G166" t="str" cm="1">
        <f t="array" ref="G166">_xlfn.IFS(
ISNUMBER(SEARCH("hold",C166)),"hold",
ISNUMBER(SEARCH("youth",C166)),"youth",
ISNUMBER(SEARCH("juve",C166)),"youth",
OR(ISNUMBER(SEARCH("health",B166)),ISNUMBER(SEARCH("care ",B166)),ISNUMBER(SEARCH("psych",B166)),ISNUMBER(SEARCH("medical",B166)),ISNUMBER(SEARCH("hospital",B166))),"medical",
ISNUMBER(SEARCH("correct",B166)),"correctional",
ISNUMBER(SEARCH("process",B166)),"processing",
ISNUMBER(SEARCH("detention center",B166)),"detention",
ISNUMBER(SEARCH("detention fac",B166)),"detention",
ISNUMBER(SEARCH("staging",B166)),"staging",
ISNUMBER(SEARCH("prison",B166)),"prison",
ISNUMBER(SEARCH("penet",B166)),"prison",
ISNUMBER(SEARCH("jail",B166)),"jail",
ISNUMBER(SEARCH("detention",B166)),"detention",
ISNUMBER(SEARCH("sheriff",B166)),"sheriff/police",
ISNUMBER(SEARCH("police",B166)),"sheriff/police",
TRUE,""
)</f>
        <v>detention</v>
      </c>
      <c r="H166">
        <f>INDEX(Sheet2!B:B,MATCH(C166,Sheet2!A:A,0),1)</f>
        <v>1384</v>
      </c>
      <c r="I166">
        <f>3-COUNTBLANK(D166:F166)</f>
        <v>1</v>
      </c>
      <c r="J166">
        <f>IF(I166&gt;=2,H166,0)</f>
        <v>0</v>
      </c>
    </row>
    <row r="167" spans="1:10" x14ac:dyDescent="0.3">
      <c r="A167" t="s">
        <v>164</v>
      </c>
      <c r="B167" t="s">
        <v>437</v>
      </c>
      <c r="C167" t="s">
        <v>438</v>
      </c>
      <c r="E167" t="s">
        <v>2246</v>
      </c>
      <c r="G167" t="str" cm="1">
        <f t="array" ref="G167">_xlfn.IFS(
ISNUMBER(SEARCH("hold",C167)),"hold",
ISNUMBER(SEARCH("youth",C167)),"youth",
ISNUMBER(SEARCH("juve",C167)),"youth",
OR(ISNUMBER(SEARCH("health",B167)),ISNUMBER(SEARCH("care ",B167)),ISNUMBER(SEARCH("psych",B167)),ISNUMBER(SEARCH("medical",B167)),ISNUMBER(SEARCH("hospital",B167))),"medical",
ISNUMBER(SEARCH("correct",B167)),"correctional",
ISNUMBER(SEARCH("process",B167)),"processing",
ISNUMBER(SEARCH("detention center",B167)),"detention",
ISNUMBER(SEARCH("detention fac",B167)),"detention",
ISNUMBER(SEARCH("staging",B167)),"staging",
ISNUMBER(SEARCH("prison",B167)),"prison",
ISNUMBER(SEARCH("penet",B167)),"prison",
ISNUMBER(SEARCH("jail",B167)),"jail",
ISNUMBER(SEARCH("detention",B167)),"detention",
ISNUMBER(SEARCH("sheriff",B167)),"sheriff/police",
ISNUMBER(SEARCH("police",B167)),"sheriff/police",
TRUE,""
)</f>
        <v>hold</v>
      </c>
      <c r="H167">
        <f>INDEX(Sheet2!B:B,MATCH(C167,Sheet2!A:A,0),1)</f>
        <v>1359</v>
      </c>
      <c r="I167">
        <f>3-COUNTBLANK(D167:F167)</f>
        <v>1</v>
      </c>
      <c r="J167">
        <f>IF(I167&gt;=2,H167,0)</f>
        <v>0</v>
      </c>
    </row>
    <row r="168" spans="1:10" x14ac:dyDescent="0.3">
      <c r="A168" t="s">
        <v>167</v>
      </c>
      <c r="B168" t="s">
        <v>1578</v>
      </c>
      <c r="C168" t="s">
        <v>1579</v>
      </c>
      <c r="E168" t="s">
        <v>1573</v>
      </c>
      <c r="G168" t="str" cm="1">
        <f t="array" ref="G168">_xlfn.IFS(
ISNUMBER(SEARCH("hold",C168)),"hold",
ISNUMBER(SEARCH("youth",C168)),"youth",
ISNUMBER(SEARCH("juve",C168)),"youth",
OR(ISNUMBER(SEARCH("health",B168)),ISNUMBER(SEARCH("care ",B168)),ISNUMBER(SEARCH("psych",B168)),ISNUMBER(SEARCH("medical",B168)),ISNUMBER(SEARCH("hospital",B168))),"medical",
ISNUMBER(SEARCH("correct",B168)),"correctional",
ISNUMBER(SEARCH("process",B168)),"processing",
ISNUMBER(SEARCH("detention center",B168)),"detention",
ISNUMBER(SEARCH("detention fac",B168)),"detention",
ISNUMBER(SEARCH("staging",B168)),"staging",
ISNUMBER(SEARCH("prison",B168)),"prison",
ISNUMBER(SEARCH("penet",B168)),"prison",
ISNUMBER(SEARCH("jail",B168)),"jail",
ISNUMBER(SEARCH("detention",B168)),"detention",
ISNUMBER(SEARCH("sheriff",B168)),"sheriff/police",
ISNUMBER(SEARCH("police",B168)),"sheriff/police",
TRUE,""
)</f>
        <v>hold</v>
      </c>
      <c r="H168">
        <f>INDEX(Sheet2!B:B,MATCH(C168,Sheet2!A:A,0),1)</f>
        <v>1358</v>
      </c>
      <c r="I168">
        <f>3-COUNTBLANK(D168:F168)</f>
        <v>1</v>
      </c>
      <c r="J168">
        <f>IF(I168&gt;=2,H168,0)</f>
        <v>0</v>
      </c>
    </row>
    <row r="169" spans="1:10" x14ac:dyDescent="0.3">
      <c r="A169" t="s">
        <v>171</v>
      </c>
      <c r="B169" t="s">
        <v>970</v>
      </c>
      <c r="C169" t="s">
        <v>972</v>
      </c>
      <c r="D169" t="s">
        <v>42</v>
      </c>
      <c r="F169" t="s">
        <v>2340</v>
      </c>
      <c r="G169" t="str" cm="1">
        <f t="array" ref="G169">_xlfn.IFS(
ISNUMBER(SEARCH("hold",C169)),"hold",
ISNUMBER(SEARCH("youth",C169)),"youth",
ISNUMBER(SEARCH("juve",C169)),"youth",
OR(ISNUMBER(SEARCH("health",B169)),ISNUMBER(SEARCH("care ",B169)),ISNUMBER(SEARCH("psych",B169)),ISNUMBER(SEARCH("medical",B169)),ISNUMBER(SEARCH("hospital",B169))),"medical",
ISNUMBER(SEARCH("correct",B169)),"correctional",
ISNUMBER(SEARCH("process",B169)),"processing",
ISNUMBER(SEARCH("detention center",B169)),"detention",
ISNUMBER(SEARCH("detention fac",B169)),"detention",
ISNUMBER(SEARCH("staging",B169)),"staging",
ISNUMBER(SEARCH("prison",B169)),"prison",
ISNUMBER(SEARCH("penet",B169)),"prison",
ISNUMBER(SEARCH("jail",B169)),"jail",
ISNUMBER(SEARCH("detention",B169)),"detention",
ISNUMBER(SEARCH("sheriff",B169)),"sheriff/police",
ISNUMBER(SEARCH("police",B169)),"sheriff/police",
TRUE,""
)</f>
        <v>jail</v>
      </c>
      <c r="H169">
        <f>INDEX(Sheet2!B:B,MATCH(C169,Sheet2!A:A,0),1)</f>
        <v>1352</v>
      </c>
      <c r="I169">
        <f>3-COUNTBLANK(D169:F169)</f>
        <v>2</v>
      </c>
      <c r="J169">
        <f>IF(I169&gt;=2,H169,0)</f>
        <v>1352</v>
      </c>
    </row>
    <row r="170" spans="1:10" x14ac:dyDescent="0.3">
      <c r="A170" t="s">
        <v>175</v>
      </c>
      <c r="B170" t="s">
        <v>292</v>
      </c>
      <c r="C170" t="s">
        <v>293</v>
      </c>
      <c r="D170" t="s">
        <v>59</v>
      </c>
      <c r="G170" t="str" cm="1">
        <f t="array" ref="G170">_xlfn.IFS(
ISNUMBER(SEARCH("hold",C170)),"hold",
ISNUMBER(SEARCH("youth",C170)),"youth",
ISNUMBER(SEARCH("juve",C170)),"youth",
OR(ISNUMBER(SEARCH("health",B170)),ISNUMBER(SEARCH("care ",B170)),ISNUMBER(SEARCH("psych",B170)),ISNUMBER(SEARCH("medical",B170)),ISNUMBER(SEARCH("hospital",B170))),"medical",
ISNUMBER(SEARCH("correct",B170)),"correctional",
ISNUMBER(SEARCH("process",B170)),"processing",
ISNUMBER(SEARCH("detention center",B170)),"detention",
ISNUMBER(SEARCH("detention fac",B170)),"detention",
ISNUMBER(SEARCH("staging",B170)),"staging",
ISNUMBER(SEARCH("prison",B170)),"prison",
ISNUMBER(SEARCH("penet",B170)),"prison",
ISNUMBER(SEARCH("jail",B170)),"jail",
ISNUMBER(SEARCH("detention",B170)),"detention",
ISNUMBER(SEARCH("sheriff",B170)),"sheriff/police",
ISNUMBER(SEARCH("police",B170)),"sheriff/police",
TRUE,""
)</f>
        <v>processing</v>
      </c>
      <c r="H170">
        <f>INDEX(Sheet2!B:B,MATCH(C170,Sheet2!A:A,0),1)</f>
        <v>1337</v>
      </c>
      <c r="I170">
        <f>3-COUNTBLANK(D170:F170)</f>
        <v>1</v>
      </c>
      <c r="J170">
        <f>IF(I170&gt;=2,H170,0)</f>
        <v>0</v>
      </c>
    </row>
    <row r="171" spans="1:10" x14ac:dyDescent="0.3">
      <c r="A171" t="s">
        <v>179</v>
      </c>
      <c r="B171" t="s">
        <v>1262</v>
      </c>
      <c r="C171" t="s">
        <v>1263</v>
      </c>
      <c r="D171" t="s">
        <v>170</v>
      </c>
      <c r="F171" t="s">
        <v>2366</v>
      </c>
      <c r="G171" t="str" cm="1">
        <f t="array" ref="G171">_xlfn.IFS(
ISNUMBER(SEARCH("hold",C171)),"hold",
ISNUMBER(SEARCH("youth",C171)),"youth",
ISNUMBER(SEARCH("juve",C171)),"youth",
OR(ISNUMBER(SEARCH("health",B171)),ISNUMBER(SEARCH("care ",B171)),ISNUMBER(SEARCH("psych",B171)),ISNUMBER(SEARCH("medical",B171)),ISNUMBER(SEARCH("hospital",B171))),"medical",
ISNUMBER(SEARCH("correct",B171)),"correctional",
ISNUMBER(SEARCH("process",B171)),"processing",
ISNUMBER(SEARCH("detention center",B171)),"detention",
ISNUMBER(SEARCH("detention fac",B171)),"detention",
ISNUMBER(SEARCH("staging",B171)),"staging",
ISNUMBER(SEARCH("prison",B171)),"prison",
ISNUMBER(SEARCH("penet",B171)),"prison",
ISNUMBER(SEARCH("jail",B171)),"jail",
ISNUMBER(SEARCH("detention",B171)),"detention",
ISNUMBER(SEARCH("sheriff",B171)),"sheriff/police",
ISNUMBER(SEARCH("police",B171)),"sheriff/police",
TRUE,""
)</f>
        <v>jail</v>
      </c>
      <c r="H171">
        <f>INDEX(Sheet2!B:B,MATCH(C171,Sheet2!A:A,0),1)</f>
        <v>1312</v>
      </c>
      <c r="I171">
        <f>3-COUNTBLANK(D171:F171)</f>
        <v>2</v>
      </c>
      <c r="J171">
        <f>IF(I171&gt;=2,H171,0)</f>
        <v>1312</v>
      </c>
    </row>
    <row r="172" spans="1:10" x14ac:dyDescent="0.3">
      <c r="A172" t="s">
        <v>182</v>
      </c>
      <c r="B172" t="s">
        <v>964</v>
      </c>
      <c r="C172" t="s">
        <v>965</v>
      </c>
      <c r="D172" t="s">
        <v>82</v>
      </c>
      <c r="F172" t="s">
        <v>2339</v>
      </c>
      <c r="G172" t="str" cm="1">
        <f t="array" ref="G172">_xlfn.IFS(
ISNUMBER(SEARCH("hold",C172)),"hold",
ISNUMBER(SEARCH("youth",C172)),"youth",
ISNUMBER(SEARCH("juve",C172)),"youth",
OR(ISNUMBER(SEARCH("health",B172)),ISNUMBER(SEARCH("care ",B172)),ISNUMBER(SEARCH("psych",B172)),ISNUMBER(SEARCH("medical",B172)),ISNUMBER(SEARCH("hospital",B172))),"medical",
ISNUMBER(SEARCH("correct",B172)),"correctional",
ISNUMBER(SEARCH("process",B172)),"processing",
ISNUMBER(SEARCH("detention center",B172)),"detention",
ISNUMBER(SEARCH("detention fac",B172)),"detention",
ISNUMBER(SEARCH("staging",B172)),"staging",
ISNUMBER(SEARCH("prison",B172)),"prison",
ISNUMBER(SEARCH("penet",B172)),"prison",
ISNUMBER(SEARCH("jail",B172)),"jail",
ISNUMBER(SEARCH("detention",B172)),"detention",
ISNUMBER(SEARCH("sheriff",B172)),"sheriff/police",
ISNUMBER(SEARCH("police",B172)),"sheriff/police",
TRUE,""
)</f>
        <v>jail</v>
      </c>
      <c r="H172">
        <f>INDEX(Sheet2!B:B,MATCH(C172,Sheet2!A:A,0),1)</f>
        <v>1284</v>
      </c>
      <c r="I172">
        <f>3-COUNTBLANK(D172:F172)</f>
        <v>2</v>
      </c>
      <c r="J172">
        <f>IF(I172&gt;=2,H172,0)</f>
        <v>1284</v>
      </c>
    </row>
    <row r="173" spans="1:10" x14ac:dyDescent="0.3">
      <c r="A173" t="s">
        <v>190</v>
      </c>
      <c r="B173" t="s">
        <v>1875</v>
      </c>
      <c r="C173" t="s">
        <v>1876</v>
      </c>
      <c r="D173" t="s">
        <v>204</v>
      </c>
      <c r="E173" t="s">
        <v>2460</v>
      </c>
      <c r="G173" t="str" cm="1">
        <f t="array" ref="G173">_xlfn.IFS(
ISNUMBER(SEARCH("hold",C173)),"hold",
ISNUMBER(SEARCH("youth",C173)),"youth",
ISNUMBER(SEARCH("juve",C173)),"youth",
OR(ISNUMBER(SEARCH("health",B173)),ISNUMBER(SEARCH("care ",B173)),ISNUMBER(SEARCH("psych",B173)),ISNUMBER(SEARCH("medical",B173)),ISNUMBER(SEARCH("hospital",B173))),"medical",
ISNUMBER(SEARCH("correct",B173)),"correctional",
ISNUMBER(SEARCH("process",B173)),"processing",
ISNUMBER(SEARCH("detention center",B173)),"detention",
ISNUMBER(SEARCH("detention fac",B173)),"detention",
ISNUMBER(SEARCH("staging",B173)),"staging",
ISNUMBER(SEARCH("prison",B173)),"prison",
ISNUMBER(SEARCH("penet",B173)),"prison",
ISNUMBER(SEARCH("jail",B173)),"jail",
ISNUMBER(SEARCH("detention",B173)),"detention",
ISNUMBER(SEARCH("sheriff",B173)),"sheriff/police",
ISNUMBER(SEARCH("police",B173)),"sheriff/police",
TRUE,""
)</f>
        <v>hold</v>
      </c>
      <c r="H173">
        <f>INDEX(Sheet2!B:B,MATCH(C173,Sheet2!A:A,0),1)</f>
        <v>1273</v>
      </c>
      <c r="I173">
        <f>3-COUNTBLANK(D173:F173)</f>
        <v>2</v>
      </c>
      <c r="J173">
        <f>IF(I173&gt;=2,H173,0)</f>
        <v>1273</v>
      </c>
    </row>
    <row r="174" spans="1:10" x14ac:dyDescent="0.3">
      <c r="A174" t="s">
        <v>186</v>
      </c>
      <c r="B174" t="s">
        <v>1318</v>
      </c>
      <c r="C174" t="s">
        <v>1319</v>
      </c>
      <c r="D174" t="s">
        <v>116</v>
      </c>
      <c r="F174" t="s">
        <v>1320</v>
      </c>
      <c r="G174" t="str" cm="1">
        <f t="array" ref="G174">_xlfn.IFS(
ISNUMBER(SEARCH("hold",C174)),"hold",
ISNUMBER(SEARCH("youth",C174)),"youth",
ISNUMBER(SEARCH("juve",C174)),"youth",
OR(ISNUMBER(SEARCH("health",B174)),ISNUMBER(SEARCH("care ",B174)),ISNUMBER(SEARCH("psych",B174)),ISNUMBER(SEARCH("medical",B174)),ISNUMBER(SEARCH("hospital",B174))),"medical",
ISNUMBER(SEARCH("correct",B174)),"correctional",
ISNUMBER(SEARCH("process",B174)),"processing",
ISNUMBER(SEARCH("detention center",B174)),"detention",
ISNUMBER(SEARCH("detention fac",B174)),"detention",
ISNUMBER(SEARCH("staging",B174)),"staging",
ISNUMBER(SEARCH("prison",B174)),"prison",
ISNUMBER(SEARCH("penet",B174)),"prison",
ISNUMBER(SEARCH("jail",B174)),"jail",
ISNUMBER(SEARCH("detention",B174)),"detention",
ISNUMBER(SEARCH("sheriff",B174)),"sheriff/police",
ISNUMBER(SEARCH("police",B174)),"sheriff/police",
TRUE,""
)</f>
        <v>jail</v>
      </c>
      <c r="H174">
        <f>INDEX(Sheet2!B:B,MATCH(C174,Sheet2!A:A,0),1)</f>
        <v>1253</v>
      </c>
      <c r="I174">
        <f>3-COUNTBLANK(D174:F174)</f>
        <v>2</v>
      </c>
      <c r="J174">
        <f>IF(I174&gt;=2,H174,0)</f>
        <v>1253</v>
      </c>
    </row>
    <row r="175" spans="1:10" x14ac:dyDescent="0.3">
      <c r="A175" t="s">
        <v>195</v>
      </c>
      <c r="B175" t="s">
        <v>2006</v>
      </c>
      <c r="C175" t="s">
        <v>1966</v>
      </c>
      <c r="D175" t="s">
        <v>145</v>
      </c>
      <c r="F175" t="s">
        <v>1967</v>
      </c>
      <c r="G175" t="str" cm="1">
        <f t="array" ref="G175">_xlfn.IFS(
ISNUMBER(SEARCH("hold",C175)),"hold",
ISNUMBER(SEARCH("youth",C175)),"youth",
ISNUMBER(SEARCH("juve",C175)),"youth",
OR(ISNUMBER(SEARCH("health",B175)),ISNUMBER(SEARCH("care ",B175)),ISNUMBER(SEARCH("psych",B175)),ISNUMBER(SEARCH("medical",B175)),ISNUMBER(SEARCH("hospital",B175))),"medical",
ISNUMBER(SEARCH("correct",B175)),"correctional",
ISNUMBER(SEARCH("process",B175)),"processing",
ISNUMBER(SEARCH("detention center",B175)),"detention",
ISNUMBER(SEARCH("detention fac",B175)),"detention",
ISNUMBER(SEARCH("staging",B175)),"staging",
ISNUMBER(SEARCH("prison",B175)),"prison",
ISNUMBER(SEARCH("penet",B175)),"prison",
ISNUMBER(SEARCH("jail",B175)),"jail",
ISNUMBER(SEARCH("detention",B175)),"detention",
ISNUMBER(SEARCH("sheriff",B175)),"sheriff/police",
ISNUMBER(SEARCH("police",B175)),"sheriff/police",
TRUE,""
)</f>
        <v>correctional</v>
      </c>
      <c r="H175">
        <f>INDEX(Sheet2!B:B,MATCH(C175,Sheet2!A:A,0),1)</f>
        <v>1249</v>
      </c>
      <c r="I175">
        <f>3-COUNTBLANK(D175:F175)</f>
        <v>2</v>
      </c>
      <c r="J175">
        <f>IF(I175&gt;=2,H175,0)</f>
        <v>1249</v>
      </c>
    </row>
    <row r="176" spans="1:10" x14ac:dyDescent="0.3">
      <c r="A176" t="s">
        <v>198</v>
      </c>
      <c r="B176" t="s">
        <v>1630</v>
      </c>
      <c r="C176" t="s">
        <v>1631</v>
      </c>
      <c r="D176" t="s">
        <v>72</v>
      </c>
      <c r="E176" t="s">
        <v>2415</v>
      </c>
      <c r="G176" t="str" cm="1">
        <f t="array" ref="G176">_xlfn.IFS(
ISNUMBER(SEARCH("hold",C176)),"hold",
ISNUMBER(SEARCH("youth",C176)),"youth",
ISNUMBER(SEARCH("juve",C176)),"youth",
OR(ISNUMBER(SEARCH("health",B176)),ISNUMBER(SEARCH("care ",B176)),ISNUMBER(SEARCH("psych",B176)),ISNUMBER(SEARCH("medical",B176)),ISNUMBER(SEARCH("hospital",B176))),"medical",
ISNUMBER(SEARCH("correct",B176)),"correctional",
ISNUMBER(SEARCH("process",B176)),"processing",
ISNUMBER(SEARCH("detention center",B176)),"detention",
ISNUMBER(SEARCH("detention fac",B176)),"detention",
ISNUMBER(SEARCH("staging",B176)),"staging",
ISNUMBER(SEARCH("prison",B176)),"prison",
ISNUMBER(SEARCH("penet",B176)),"prison",
ISNUMBER(SEARCH("jail",B176)),"jail",
ISNUMBER(SEARCH("detention",B176)),"detention",
ISNUMBER(SEARCH("sheriff",B176)),"sheriff/police",
ISNUMBER(SEARCH("police",B176)),"sheriff/police",
TRUE,""
)</f>
        <v>hold</v>
      </c>
      <c r="H176">
        <f>INDEX(Sheet2!B:B,MATCH(C176,Sheet2!A:A,0),1)</f>
        <v>1227</v>
      </c>
      <c r="I176">
        <f>3-COUNTBLANK(D176:F176)</f>
        <v>2</v>
      </c>
      <c r="J176">
        <f>IF(I176&gt;=2,H176,0)</f>
        <v>1227</v>
      </c>
    </row>
    <row r="177" spans="1:10" x14ac:dyDescent="0.3">
      <c r="A177" t="s">
        <v>201</v>
      </c>
      <c r="B177" t="s">
        <v>1343</v>
      </c>
      <c r="C177" t="s">
        <v>1344</v>
      </c>
      <c r="D177" t="s">
        <v>6</v>
      </c>
      <c r="E177" t="s">
        <v>2461</v>
      </c>
      <c r="G177" t="str" cm="1">
        <f t="array" ref="G177">_xlfn.IFS(
ISNUMBER(SEARCH("hold",C177)),"hold",
ISNUMBER(SEARCH("youth",C177)),"youth",
ISNUMBER(SEARCH("juve",C177)),"youth",
OR(ISNUMBER(SEARCH("health",B177)),ISNUMBER(SEARCH("care ",B177)),ISNUMBER(SEARCH("psych",B177)),ISNUMBER(SEARCH("medical",B177)),ISNUMBER(SEARCH("hospital",B177))),"medical",
ISNUMBER(SEARCH("correct",B177)),"correctional",
ISNUMBER(SEARCH("process",B177)),"processing",
ISNUMBER(SEARCH("detention center",B177)),"detention",
ISNUMBER(SEARCH("detention fac",B177)),"detention",
ISNUMBER(SEARCH("staging",B177)),"staging",
ISNUMBER(SEARCH("prison",B177)),"prison",
ISNUMBER(SEARCH("penet",B177)),"prison",
ISNUMBER(SEARCH("jail",B177)),"jail",
ISNUMBER(SEARCH("detention",B177)),"detention",
ISNUMBER(SEARCH("sheriff",B177)),"sheriff/police",
ISNUMBER(SEARCH("police",B177)),"sheriff/police",
TRUE,""
)</f>
        <v>hold</v>
      </c>
      <c r="H177">
        <f>INDEX(Sheet2!B:B,MATCH(C177,Sheet2!A:A,0),1)</f>
        <v>1224</v>
      </c>
      <c r="I177">
        <f>3-COUNTBLANK(D177:F177)</f>
        <v>2</v>
      </c>
      <c r="J177">
        <f>IF(I177&gt;=2,H177,0)</f>
        <v>1224</v>
      </c>
    </row>
    <row r="178" spans="1:10" x14ac:dyDescent="0.3">
      <c r="A178" t="s">
        <v>205</v>
      </c>
      <c r="B178" t="s">
        <v>386</v>
      </c>
      <c r="C178" t="s">
        <v>387</v>
      </c>
      <c r="D178" t="s">
        <v>82</v>
      </c>
      <c r="F178" t="s">
        <v>2263</v>
      </c>
      <c r="G178" t="str" cm="1">
        <f t="array" ref="G178">_xlfn.IFS(
ISNUMBER(SEARCH("hold",C178)),"hold",
ISNUMBER(SEARCH("youth",C178)),"youth",
ISNUMBER(SEARCH("juve",C178)),"youth",
OR(ISNUMBER(SEARCH("health",B178)),ISNUMBER(SEARCH("care ",B178)),ISNUMBER(SEARCH("psych",B178)),ISNUMBER(SEARCH("medical",B178)),ISNUMBER(SEARCH("hospital",B178))),"medical",
ISNUMBER(SEARCH("correct",B178)),"correctional",
ISNUMBER(SEARCH("process",B178)),"processing",
ISNUMBER(SEARCH("detention center",B178)),"detention",
ISNUMBER(SEARCH("detention fac",B178)),"detention",
ISNUMBER(SEARCH("staging",B178)),"staging",
ISNUMBER(SEARCH("prison",B178)),"prison",
ISNUMBER(SEARCH("penet",B178)),"prison",
ISNUMBER(SEARCH("jail",B178)),"jail",
ISNUMBER(SEARCH("detention",B178)),"detention",
ISNUMBER(SEARCH("sheriff",B178)),"sheriff/police",
ISNUMBER(SEARCH("police",B178)),"sheriff/police",
TRUE,""
)</f>
        <v>detention</v>
      </c>
      <c r="H178">
        <f>INDEX(Sheet2!B:B,MATCH(C178,Sheet2!A:A,0),1)</f>
        <v>1222</v>
      </c>
      <c r="I178">
        <f>3-COUNTBLANK(D178:F178)</f>
        <v>2</v>
      </c>
      <c r="J178">
        <f>IF(I178&gt;=2,H178,0)</f>
        <v>1222</v>
      </c>
    </row>
    <row r="179" spans="1:10" x14ac:dyDescent="0.3">
      <c r="A179" t="s">
        <v>543</v>
      </c>
      <c r="B179" t="s">
        <v>2570</v>
      </c>
      <c r="C179" t="s">
        <v>1898</v>
      </c>
      <c r="D179" t="s">
        <v>116</v>
      </c>
      <c r="F179" t="s">
        <v>2293</v>
      </c>
      <c r="G179" t="str" cm="1">
        <f t="array" ref="G179">_xlfn.IFS(
ISNUMBER(SEARCH("hold",C179)),"hold",
ISNUMBER(SEARCH("youth",C179)),"youth",
ISNUMBER(SEARCH("juve",C179)),"youth",
OR(ISNUMBER(SEARCH("health",B179)),ISNUMBER(SEARCH("care ",B179)),ISNUMBER(SEARCH("psych",B179)),ISNUMBER(SEARCH("medical",B179)),ISNUMBER(SEARCH("hospital",B179))),"medical",
ISNUMBER(SEARCH("correct",B179)),"correctional",
ISNUMBER(SEARCH("process",B179)),"processing",
ISNUMBER(SEARCH("detention center",B179)),"detention",
ISNUMBER(SEARCH("detention fac",B179)),"detention",
ISNUMBER(SEARCH("staging",B179)),"staging",
ISNUMBER(SEARCH("prison",B179)),"prison",
ISNUMBER(SEARCH("penet",B179)),"prison",
ISNUMBER(SEARCH("jail",B179)),"jail",
ISNUMBER(SEARCH("detention",B179)),"detention",
ISNUMBER(SEARCH("sheriff",B179)),"sheriff/police",
ISNUMBER(SEARCH("police",B179)),"sheriff/police",
TRUE,""
)</f>
        <v/>
      </c>
      <c r="H179">
        <f>INDEX(Sheet2!B:B,MATCH(C179,Sheet2!A:A,0),1)</f>
        <v>345</v>
      </c>
      <c r="I179">
        <f>3-COUNTBLANK(D179:F179)</f>
        <v>2</v>
      </c>
      <c r="J179">
        <f>IF(I179&gt;=2,H179,0)</f>
        <v>345</v>
      </c>
    </row>
    <row r="180" spans="1:10" x14ac:dyDescent="0.3">
      <c r="A180" t="s">
        <v>223</v>
      </c>
      <c r="B180" t="s">
        <v>324</v>
      </c>
      <c r="C180" t="s">
        <v>325</v>
      </c>
      <c r="D180" t="s">
        <v>121</v>
      </c>
      <c r="F180" t="s">
        <v>326</v>
      </c>
      <c r="G180" t="str" cm="1">
        <f t="array" ref="G180">_xlfn.IFS(
ISNUMBER(SEARCH("hold",C180)),"hold",
ISNUMBER(SEARCH("youth",C180)),"youth",
ISNUMBER(SEARCH("juve",C180)),"youth",
OR(ISNUMBER(SEARCH("health",B180)),ISNUMBER(SEARCH("care ",B180)),ISNUMBER(SEARCH("psych",B180)),ISNUMBER(SEARCH("medical",B180)),ISNUMBER(SEARCH("hospital",B180))),"medical",
ISNUMBER(SEARCH("correct",B180)),"correctional",
ISNUMBER(SEARCH("process",B180)),"processing",
ISNUMBER(SEARCH("detention center",B180)),"detention",
ISNUMBER(SEARCH("detention fac",B180)),"detention",
ISNUMBER(SEARCH("staging",B180)),"staging",
ISNUMBER(SEARCH("prison",B180)),"prison",
ISNUMBER(SEARCH("penet",B180)),"prison",
ISNUMBER(SEARCH("jail",B180)),"jail",
ISNUMBER(SEARCH("detention",B180)),"detention",
ISNUMBER(SEARCH("sheriff",B180)),"sheriff/police",
ISNUMBER(SEARCH("police",B180)),"sheriff/police",
TRUE,""
)</f>
        <v>jail</v>
      </c>
      <c r="H180">
        <f>INDEX(Sheet2!B:B,MATCH(C180,Sheet2!A:A,0),1)</f>
        <v>1191</v>
      </c>
      <c r="I180">
        <f>3-COUNTBLANK(D180:F180)</f>
        <v>2</v>
      </c>
      <c r="J180">
        <f>IF(I180&gt;=2,H180,0)</f>
        <v>1191</v>
      </c>
    </row>
    <row r="181" spans="1:10" x14ac:dyDescent="0.3">
      <c r="A181" t="s">
        <v>228</v>
      </c>
      <c r="B181" t="s">
        <v>496</v>
      </c>
      <c r="C181" t="s">
        <v>497</v>
      </c>
      <c r="D181" t="s">
        <v>72</v>
      </c>
      <c r="E181" t="s">
        <v>2227</v>
      </c>
      <c r="G181" t="str" cm="1">
        <f t="array" ref="G181">_xlfn.IFS(
ISNUMBER(SEARCH("hold",C181)),"hold",
ISNUMBER(SEARCH("youth",C181)),"youth",
ISNUMBER(SEARCH("juve",C181)),"youth",
OR(ISNUMBER(SEARCH("health",B181)),ISNUMBER(SEARCH("care ",B181)),ISNUMBER(SEARCH("psych",B181)),ISNUMBER(SEARCH("medical",B181)),ISNUMBER(SEARCH("hospital",B181))),"medical",
ISNUMBER(SEARCH("correct",B181)),"correctional",
ISNUMBER(SEARCH("process",B181)),"processing",
ISNUMBER(SEARCH("detention center",B181)),"detention",
ISNUMBER(SEARCH("detention fac",B181)),"detention",
ISNUMBER(SEARCH("staging",B181)),"staging",
ISNUMBER(SEARCH("prison",B181)),"prison",
ISNUMBER(SEARCH("penet",B181)),"prison",
ISNUMBER(SEARCH("jail",B181)),"jail",
ISNUMBER(SEARCH("detention",B181)),"detention",
ISNUMBER(SEARCH("sheriff",B181)),"sheriff/police",
ISNUMBER(SEARCH("police",B181)),"sheriff/police",
TRUE,""
)</f>
        <v>hold</v>
      </c>
      <c r="H181">
        <f>INDEX(Sheet2!B:B,MATCH(C181,Sheet2!A:A,0),1)</f>
        <v>1180</v>
      </c>
      <c r="I181">
        <f>3-COUNTBLANK(D181:F181)</f>
        <v>2</v>
      </c>
      <c r="J181">
        <f>IF(I181&gt;=2,H181,0)</f>
        <v>1180</v>
      </c>
    </row>
    <row r="182" spans="1:10" x14ac:dyDescent="0.3">
      <c r="A182" t="s">
        <v>232</v>
      </c>
      <c r="B182" t="s">
        <v>833</v>
      </c>
      <c r="C182" t="s">
        <v>834</v>
      </c>
      <c r="D182" t="s">
        <v>10</v>
      </c>
      <c r="E182" t="s">
        <v>2462</v>
      </c>
      <c r="G182" t="str" cm="1">
        <f t="array" ref="G182">_xlfn.IFS(
ISNUMBER(SEARCH("hold",C182)),"hold",
ISNUMBER(SEARCH("youth",C182)),"youth",
ISNUMBER(SEARCH("juve",C182)),"youth",
OR(ISNUMBER(SEARCH("health",B182)),ISNUMBER(SEARCH("care ",B182)),ISNUMBER(SEARCH("psych",B182)),ISNUMBER(SEARCH("medical",B182)),ISNUMBER(SEARCH("hospital",B182))),"medical",
ISNUMBER(SEARCH("correct",B182)),"correctional",
ISNUMBER(SEARCH("process",B182)),"processing",
ISNUMBER(SEARCH("detention center",B182)),"detention",
ISNUMBER(SEARCH("detention fac",B182)),"detention",
ISNUMBER(SEARCH("staging",B182)),"staging",
ISNUMBER(SEARCH("prison",B182)),"prison",
ISNUMBER(SEARCH("penet",B182)),"prison",
ISNUMBER(SEARCH("jail",B182)),"jail",
ISNUMBER(SEARCH("detention",B182)),"detention",
ISNUMBER(SEARCH("sheriff",B182)),"sheriff/police",
ISNUMBER(SEARCH("police",B182)),"sheriff/police",
TRUE,""
)</f>
        <v>hold</v>
      </c>
      <c r="H182">
        <f>INDEX(Sheet2!B:B,MATCH(C182,Sheet2!A:A,0),1)</f>
        <v>1166</v>
      </c>
      <c r="I182">
        <f>3-COUNTBLANK(D182:F182)</f>
        <v>2</v>
      </c>
      <c r="J182">
        <f>IF(I182&gt;=2,H182,0)</f>
        <v>1166</v>
      </c>
    </row>
    <row r="183" spans="1:10" x14ac:dyDescent="0.3">
      <c r="A183" t="s">
        <v>235</v>
      </c>
      <c r="B183" t="s">
        <v>715</v>
      </c>
      <c r="C183" t="s">
        <v>716</v>
      </c>
      <c r="D183" t="s">
        <v>72</v>
      </c>
      <c r="E183" t="s">
        <v>713</v>
      </c>
      <c r="G183" t="str" cm="1">
        <f t="array" ref="G183">_xlfn.IFS(
ISNUMBER(SEARCH("hold",C183)),"hold",
ISNUMBER(SEARCH("youth",C183)),"youth",
ISNUMBER(SEARCH("juve",C183)),"youth",
OR(ISNUMBER(SEARCH("health",B183)),ISNUMBER(SEARCH("care ",B183)),ISNUMBER(SEARCH("psych",B183)),ISNUMBER(SEARCH("medical",B183)),ISNUMBER(SEARCH("hospital",B183))),"medical",
ISNUMBER(SEARCH("correct",B183)),"correctional",
ISNUMBER(SEARCH("process",B183)),"processing",
ISNUMBER(SEARCH("detention center",B183)),"detention",
ISNUMBER(SEARCH("detention fac",B183)),"detention",
ISNUMBER(SEARCH("staging",B183)),"staging",
ISNUMBER(SEARCH("prison",B183)),"prison",
ISNUMBER(SEARCH("penet",B183)),"prison",
ISNUMBER(SEARCH("jail",B183)),"jail",
ISNUMBER(SEARCH("detention",B183)),"detention",
ISNUMBER(SEARCH("sheriff",B183)),"sheriff/police",
ISNUMBER(SEARCH("police",B183)),"sheriff/police",
TRUE,""
)</f>
        <v>hold</v>
      </c>
      <c r="H183">
        <f>INDEX(Sheet2!B:B,MATCH(C183,Sheet2!A:A,0),1)</f>
        <v>1159</v>
      </c>
      <c r="I183">
        <f>3-COUNTBLANK(D183:F183)</f>
        <v>2</v>
      </c>
      <c r="J183">
        <f>IF(I183&gt;=2,H183,0)</f>
        <v>1159</v>
      </c>
    </row>
    <row r="184" spans="1:10" x14ac:dyDescent="0.3">
      <c r="A184" t="s">
        <v>239</v>
      </c>
      <c r="B184" t="s">
        <v>1514</v>
      </c>
      <c r="C184" t="s">
        <v>1515</v>
      </c>
      <c r="D184" t="s">
        <v>141</v>
      </c>
      <c r="F184" t="s">
        <v>2429</v>
      </c>
      <c r="G184" t="str" cm="1">
        <f t="array" ref="G184">_xlfn.IFS(
ISNUMBER(SEARCH("hold",C184)),"hold",
ISNUMBER(SEARCH("youth",C184)),"youth",
ISNUMBER(SEARCH("juve",C184)),"youth",
OR(ISNUMBER(SEARCH("health",B184)),ISNUMBER(SEARCH("care ",B184)),ISNUMBER(SEARCH("psych",B184)),ISNUMBER(SEARCH("medical",B184)),ISNUMBER(SEARCH("hospital",B184))),"medical",
ISNUMBER(SEARCH("correct",B184)),"correctional",
ISNUMBER(SEARCH("process",B184)),"processing",
ISNUMBER(SEARCH("detention center",B184)),"detention",
ISNUMBER(SEARCH("detention fac",B184)),"detention",
ISNUMBER(SEARCH("staging",B184)),"staging",
ISNUMBER(SEARCH("prison",B184)),"prison",
ISNUMBER(SEARCH("penet",B184)),"prison",
ISNUMBER(SEARCH("jail",B184)),"jail",
ISNUMBER(SEARCH("detention",B184)),"detention",
ISNUMBER(SEARCH("sheriff",B184)),"sheriff/police",
ISNUMBER(SEARCH("police",B184)),"sheriff/police",
TRUE,""
)</f>
        <v>jail</v>
      </c>
      <c r="H184">
        <f>INDEX(Sheet2!B:B,MATCH(C184,Sheet2!A:A,0),1)</f>
        <v>1119</v>
      </c>
      <c r="I184">
        <f>3-COUNTBLANK(D184:F184)</f>
        <v>2</v>
      </c>
      <c r="J184">
        <f>IF(I184&gt;=2,H184,0)</f>
        <v>1119</v>
      </c>
    </row>
    <row r="185" spans="1:10" x14ac:dyDescent="0.3">
      <c r="A185" t="s">
        <v>242</v>
      </c>
      <c r="B185" t="s">
        <v>818</v>
      </c>
      <c r="C185" t="s">
        <v>819</v>
      </c>
      <c r="D185" t="s">
        <v>72</v>
      </c>
      <c r="E185" t="s">
        <v>2523</v>
      </c>
      <c r="G185" t="str" cm="1">
        <f t="array" ref="G185">_xlfn.IFS(
ISNUMBER(SEARCH("hold",C185)),"hold",
ISNUMBER(SEARCH("youth",C185)),"youth",
ISNUMBER(SEARCH("juve",C185)),"youth",
OR(ISNUMBER(SEARCH("health",B185)),ISNUMBER(SEARCH("care ",B185)),ISNUMBER(SEARCH("psych",B185)),ISNUMBER(SEARCH("medical",B185)),ISNUMBER(SEARCH("hospital",B185))),"medical",
ISNUMBER(SEARCH("correct",B185)),"correctional",
ISNUMBER(SEARCH("process",B185)),"processing",
ISNUMBER(SEARCH("detention center",B185)),"detention",
ISNUMBER(SEARCH("detention fac",B185)),"detention",
ISNUMBER(SEARCH("staging",B185)),"staging",
ISNUMBER(SEARCH("prison",B185)),"prison",
ISNUMBER(SEARCH("penet",B185)),"prison",
ISNUMBER(SEARCH("jail",B185)),"jail",
ISNUMBER(SEARCH("detention",B185)),"detention",
ISNUMBER(SEARCH("sheriff",B185)),"sheriff/police",
ISNUMBER(SEARCH("police",B185)),"sheriff/police",
TRUE,""
)</f>
        <v>hold</v>
      </c>
      <c r="H185">
        <f>INDEX(Sheet2!B:B,MATCH(C185,Sheet2!A:A,0),1)</f>
        <v>1109</v>
      </c>
      <c r="I185">
        <f>3-COUNTBLANK(D185:F185)</f>
        <v>2</v>
      </c>
      <c r="J185">
        <f>IF(I185&gt;=2,H185,0)</f>
        <v>1109</v>
      </c>
    </row>
    <row r="186" spans="1:10" x14ac:dyDescent="0.3">
      <c r="A186" t="s">
        <v>1067</v>
      </c>
      <c r="B186" t="s">
        <v>40</v>
      </c>
      <c r="C186" t="s">
        <v>41</v>
      </c>
      <c r="D186" t="s">
        <v>42</v>
      </c>
      <c r="G186" t="str" cm="1">
        <f t="array" ref="G186">_xlfn.IFS(
ISNUMBER(SEARCH("hold",C186)),"hold",
ISNUMBER(SEARCH("youth",C186)),"youth",
ISNUMBER(SEARCH("juve",C186)),"youth",
OR(ISNUMBER(SEARCH("health",B186)),ISNUMBER(SEARCH("care ",B186)),ISNUMBER(SEARCH("psych",B186)),ISNUMBER(SEARCH("medical",B186)),ISNUMBER(SEARCH("hospital",B186))),"medical",
ISNUMBER(SEARCH("correct",B186)),"correctional",
ISNUMBER(SEARCH("process",B186)),"processing",
ISNUMBER(SEARCH("detention center",B186)),"detention",
ISNUMBER(SEARCH("detention fac",B186)),"detention",
ISNUMBER(SEARCH("staging",B186)),"staging",
ISNUMBER(SEARCH("prison",B186)),"prison",
ISNUMBER(SEARCH("penet",B186)),"prison",
ISNUMBER(SEARCH("jail",B186)),"jail",
ISNUMBER(SEARCH("detention",B186)),"detention",
ISNUMBER(SEARCH("sheriff",B186)),"sheriff/police",
ISNUMBER(SEARCH("police",B186)),"sheriff/police",
TRUE,""
)</f>
        <v/>
      </c>
      <c r="H186">
        <f>INDEX(Sheet2!B:B,MATCH(C186,Sheet2!A:A,0),1)</f>
        <v>18</v>
      </c>
      <c r="I186">
        <f>3-COUNTBLANK(D186:F186)</f>
        <v>1</v>
      </c>
      <c r="J186">
        <f>IF(I186&gt;=2,H186,0)</f>
        <v>0</v>
      </c>
    </row>
    <row r="187" spans="1:10" x14ac:dyDescent="0.3">
      <c r="A187" t="s">
        <v>248</v>
      </c>
      <c r="B187" t="s">
        <v>1055</v>
      </c>
      <c r="C187" t="s">
        <v>1056</v>
      </c>
      <c r="D187" t="s">
        <v>185</v>
      </c>
      <c r="E187" t="s">
        <v>2463</v>
      </c>
      <c r="G187" t="str" cm="1">
        <f t="array" ref="G187">_xlfn.IFS(
ISNUMBER(SEARCH("hold",C187)),"hold",
ISNUMBER(SEARCH("youth",C187)),"youth",
ISNUMBER(SEARCH("juve",C187)),"youth",
OR(ISNUMBER(SEARCH("health",B187)),ISNUMBER(SEARCH("care ",B187)),ISNUMBER(SEARCH("psych",B187)),ISNUMBER(SEARCH("medical",B187)),ISNUMBER(SEARCH("hospital",B187))),"medical",
ISNUMBER(SEARCH("correct",B187)),"correctional",
ISNUMBER(SEARCH("process",B187)),"processing",
ISNUMBER(SEARCH("detention center",B187)),"detention",
ISNUMBER(SEARCH("detention fac",B187)),"detention",
ISNUMBER(SEARCH("staging",B187)),"staging",
ISNUMBER(SEARCH("prison",B187)),"prison",
ISNUMBER(SEARCH("penet",B187)),"prison",
ISNUMBER(SEARCH("jail",B187)),"jail",
ISNUMBER(SEARCH("detention",B187)),"detention",
ISNUMBER(SEARCH("sheriff",B187)),"sheriff/police",
ISNUMBER(SEARCH("police",B187)),"sheriff/police",
TRUE,""
)</f>
        <v>hold</v>
      </c>
      <c r="H187">
        <f>INDEX(Sheet2!B:B,MATCH(C187,Sheet2!A:A,0),1)</f>
        <v>1079</v>
      </c>
      <c r="I187">
        <f>3-COUNTBLANK(D187:F187)</f>
        <v>2</v>
      </c>
      <c r="J187">
        <f>IF(I187&gt;=2,H187,0)</f>
        <v>1079</v>
      </c>
    </row>
    <row r="188" spans="1:10" x14ac:dyDescent="0.3">
      <c r="A188" t="s">
        <v>251</v>
      </c>
      <c r="B188" t="s">
        <v>1219</v>
      </c>
      <c r="C188" t="s">
        <v>1220</v>
      </c>
      <c r="D188" t="s">
        <v>189</v>
      </c>
      <c r="E188" t="s">
        <v>2525</v>
      </c>
      <c r="G188" t="str" cm="1">
        <f t="array" ref="G188">_xlfn.IFS(
ISNUMBER(SEARCH("hold",C188)),"hold",
ISNUMBER(SEARCH("youth",C188)),"youth",
ISNUMBER(SEARCH("juve",C188)),"youth",
OR(ISNUMBER(SEARCH("health",B188)),ISNUMBER(SEARCH("care ",B188)),ISNUMBER(SEARCH("psych",B188)),ISNUMBER(SEARCH("medical",B188)),ISNUMBER(SEARCH("hospital",B188))),"medical",
ISNUMBER(SEARCH("correct",B188)),"correctional",
ISNUMBER(SEARCH("process",B188)),"processing",
ISNUMBER(SEARCH("detention center",B188)),"detention",
ISNUMBER(SEARCH("detention fac",B188)),"detention",
ISNUMBER(SEARCH("staging",B188)),"staging",
ISNUMBER(SEARCH("prison",B188)),"prison",
ISNUMBER(SEARCH("penet",B188)),"prison",
ISNUMBER(SEARCH("jail",B188)),"jail",
ISNUMBER(SEARCH("detention",B188)),"detention",
ISNUMBER(SEARCH("sheriff",B188)),"sheriff/police",
ISNUMBER(SEARCH("police",B188)),"sheriff/police",
TRUE,""
)</f>
        <v>hold</v>
      </c>
      <c r="H188">
        <f>INDEX(Sheet2!B:B,MATCH(C188,Sheet2!A:A,0),1)</f>
        <v>1075</v>
      </c>
      <c r="I188">
        <f>3-COUNTBLANK(D188:F188)</f>
        <v>2</v>
      </c>
      <c r="J188">
        <f>IF(I188&gt;=2,H188,0)</f>
        <v>1075</v>
      </c>
    </row>
    <row r="189" spans="1:10" x14ac:dyDescent="0.3">
      <c r="A189" t="s">
        <v>254</v>
      </c>
      <c r="B189" t="s">
        <v>1991</v>
      </c>
      <c r="C189" t="s">
        <v>1955</v>
      </c>
      <c r="D189" t="s">
        <v>72</v>
      </c>
      <c r="F189" t="s">
        <v>1956</v>
      </c>
      <c r="G189" t="str" cm="1">
        <f t="array" ref="G189">_xlfn.IFS(
ISNUMBER(SEARCH("hold",C189)),"hold",
ISNUMBER(SEARCH("youth",C189)),"youth",
ISNUMBER(SEARCH("juve",C189)),"youth",
OR(ISNUMBER(SEARCH("health",B189)),ISNUMBER(SEARCH("care ",B189)),ISNUMBER(SEARCH("psych",B189)),ISNUMBER(SEARCH("medical",B189)),ISNUMBER(SEARCH("hospital",B189))),"medical",
ISNUMBER(SEARCH("correct",B189)),"correctional",
ISNUMBER(SEARCH("process",B189)),"processing",
ISNUMBER(SEARCH("detention center",B189)),"detention",
ISNUMBER(SEARCH("detention fac",B189)),"detention",
ISNUMBER(SEARCH("staging",B189)),"staging",
ISNUMBER(SEARCH("prison",B189)),"prison",
ISNUMBER(SEARCH("penet",B189)),"prison",
ISNUMBER(SEARCH("jail",B189)),"jail",
ISNUMBER(SEARCH("detention",B189)),"detention",
ISNUMBER(SEARCH("sheriff",B189)),"sheriff/police",
ISNUMBER(SEARCH("police",B189)),"sheriff/police",
TRUE,""
)</f>
        <v>detention</v>
      </c>
      <c r="H189">
        <f>INDEX(Sheet2!B:B,MATCH(C189,Sheet2!A:A,0),1)</f>
        <v>1073</v>
      </c>
      <c r="I189">
        <f>3-COUNTBLANK(D189:F189)</f>
        <v>2</v>
      </c>
      <c r="J189">
        <f>IF(I189&gt;=2,H189,0)</f>
        <v>1073</v>
      </c>
    </row>
    <row r="190" spans="1:10" x14ac:dyDescent="0.3">
      <c r="A190" t="s">
        <v>257</v>
      </c>
      <c r="B190" t="s">
        <v>1932</v>
      </c>
      <c r="C190" t="s">
        <v>1933</v>
      </c>
      <c r="D190" t="s">
        <v>185</v>
      </c>
      <c r="F190" t="s">
        <v>1934</v>
      </c>
      <c r="G190" t="str" cm="1">
        <f t="array" ref="G190">_xlfn.IFS(
ISNUMBER(SEARCH("hold",C190)),"hold",
ISNUMBER(SEARCH("youth",C190)),"youth",
ISNUMBER(SEARCH("juve",C190)),"youth",
OR(ISNUMBER(SEARCH("health",B190)),ISNUMBER(SEARCH("care ",B190)),ISNUMBER(SEARCH("psych",B190)),ISNUMBER(SEARCH("medical",B190)),ISNUMBER(SEARCH("hospital",B190))),"medical",
ISNUMBER(SEARCH("correct",B190)),"correctional",
ISNUMBER(SEARCH("process",B190)),"processing",
ISNUMBER(SEARCH("detention center",B190)),"detention",
ISNUMBER(SEARCH("detention fac",B190)),"detention",
ISNUMBER(SEARCH("staging",B190)),"staging",
ISNUMBER(SEARCH("prison",B190)),"prison",
ISNUMBER(SEARCH("penet",B190)),"prison",
ISNUMBER(SEARCH("jail",B190)),"jail",
ISNUMBER(SEARCH("detention",B190)),"detention",
ISNUMBER(SEARCH("sheriff",B190)),"sheriff/police",
ISNUMBER(SEARCH("police",B190)),"sheriff/police",
TRUE,""
)</f>
        <v>correctional</v>
      </c>
      <c r="H190">
        <f>INDEX(Sheet2!B:B,MATCH(C190,Sheet2!A:A,0),1)</f>
        <v>1045</v>
      </c>
      <c r="I190">
        <f>3-COUNTBLANK(D190:F190)</f>
        <v>2</v>
      </c>
      <c r="J190">
        <f>IF(I190&gt;=2,H190,0)</f>
        <v>1045</v>
      </c>
    </row>
    <row r="191" spans="1:10" x14ac:dyDescent="0.3">
      <c r="A191" t="s">
        <v>260</v>
      </c>
      <c r="B191" t="s">
        <v>1202</v>
      </c>
      <c r="C191" t="s">
        <v>1203</v>
      </c>
      <c r="D191" t="s">
        <v>108</v>
      </c>
      <c r="E191" t="s">
        <v>2464</v>
      </c>
      <c r="G191" t="str" cm="1">
        <f t="array" ref="G191">_xlfn.IFS(
ISNUMBER(SEARCH("hold",C191)),"hold",
ISNUMBER(SEARCH("youth",C191)),"youth",
ISNUMBER(SEARCH("juve",C191)),"youth",
OR(ISNUMBER(SEARCH("health",B191)),ISNUMBER(SEARCH("care ",B191)),ISNUMBER(SEARCH("psych",B191)),ISNUMBER(SEARCH("medical",B191)),ISNUMBER(SEARCH("hospital",B191))),"medical",
ISNUMBER(SEARCH("correct",B191)),"correctional",
ISNUMBER(SEARCH("process",B191)),"processing",
ISNUMBER(SEARCH("detention center",B191)),"detention",
ISNUMBER(SEARCH("detention fac",B191)),"detention",
ISNUMBER(SEARCH("staging",B191)),"staging",
ISNUMBER(SEARCH("prison",B191)),"prison",
ISNUMBER(SEARCH("penet",B191)),"prison",
ISNUMBER(SEARCH("jail",B191)),"jail",
ISNUMBER(SEARCH("detention",B191)),"detention",
ISNUMBER(SEARCH("sheriff",B191)),"sheriff/police",
ISNUMBER(SEARCH("police",B191)),"sheriff/police",
TRUE,""
)</f>
        <v>hold</v>
      </c>
      <c r="H191">
        <f>INDEX(Sheet2!B:B,MATCH(C191,Sheet2!A:A,0),1)</f>
        <v>1043</v>
      </c>
      <c r="I191">
        <f>3-COUNTBLANK(D191:F191)</f>
        <v>2</v>
      </c>
      <c r="J191">
        <f>IF(I191&gt;=2,H191,0)</f>
        <v>1043</v>
      </c>
    </row>
    <row r="192" spans="1:10" x14ac:dyDescent="0.3">
      <c r="A192" t="s">
        <v>263</v>
      </c>
      <c r="B192" t="s">
        <v>1340</v>
      </c>
      <c r="C192" t="s">
        <v>1341</v>
      </c>
      <c r="G192" t="str" cm="1">
        <f t="array" ref="G192">_xlfn.IFS(
ISNUMBER(SEARCH("hold",C192)),"hold",
ISNUMBER(SEARCH("youth",C192)),"youth",
ISNUMBER(SEARCH("juve",C192)),"youth",
OR(ISNUMBER(SEARCH("health",B192)),ISNUMBER(SEARCH("care ",B192)),ISNUMBER(SEARCH("psych",B192)),ISNUMBER(SEARCH("medical",B192)),ISNUMBER(SEARCH("hospital",B192))),"medical",
ISNUMBER(SEARCH("correct",B192)),"correctional",
ISNUMBER(SEARCH("process",B192)),"processing",
ISNUMBER(SEARCH("detention center",B192)),"detention",
ISNUMBER(SEARCH("detention fac",B192)),"detention",
ISNUMBER(SEARCH("staging",B192)),"staging",
ISNUMBER(SEARCH("prison",B192)),"prison",
ISNUMBER(SEARCH("penet",B192)),"prison",
ISNUMBER(SEARCH("jail",B192)),"jail",
ISNUMBER(SEARCH("detention",B192)),"detention",
ISNUMBER(SEARCH("sheriff",B192)),"sheriff/police",
ISNUMBER(SEARCH("police",B192)),"sheriff/police",
TRUE,""
)</f>
        <v>staging</v>
      </c>
      <c r="H192">
        <f>INDEX(Sheet2!B:B,MATCH(C192,Sheet2!A:A,0),1)</f>
        <v>1024</v>
      </c>
      <c r="I192">
        <f>3-COUNTBLANK(D192:F192)</f>
        <v>0</v>
      </c>
      <c r="J192">
        <f>IF(I192&gt;=2,H192,0)</f>
        <v>0</v>
      </c>
    </row>
    <row r="193" spans="1:10" x14ac:dyDescent="0.3">
      <c r="A193" t="s">
        <v>266</v>
      </c>
      <c r="B193" t="s">
        <v>252</v>
      </c>
      <c r="C193" t="s">
        <v>253</v>
      </c>
      <c r="G193" t="str" cm="1">
        <f t="array" ref="G193">_xlfn.IFS(
ISNUMBER(SEARCH("hold",C193)),"hold",
ISNUMBER(SEARCH("youth",C193)),"youth",
ISNUMBER(SEARCH("juve",C193)),"youth",
OR(ISNUMBER(SEARCH("health",B193)),ISNUMBER(SEARCH("care ",B193)),ISNUMBER(SEARCH("psych",B193)),ISNUMBER(SEARCH("medical",B193)),ISNUMBER(SEARCH("hospital",B193))),"medical",
ISNUMBER(SEARCH("correct",B193)),"correctional",
ISNUMBER(SEARCH("process",B193)),"processing",
ISNUMBER(SEARCH("detention center",B193)),"detention",
ISNUMBER(SEARCH("detention fac",B193)),"detention",
ISNUMBER(SEARCH("staging",B193)),"staging",
ISNUMBER(SEARCH("prison",B193)),"prison",
ISNUMBER(SEARCH("penet",B193)),"prison",
ISNUMBER(SEARCH("jail",B193)),"jail",
ISNUMBER(SEARCH("detention",B193)),"detention",
ISNUMBER(SEARCH("sheriff",B193)),"sheriff/police",
ISNUMBER(SEARCH("police",B193)),"sheriff/police",
TRUE,""
)</f>
        <v>correctional</v>
      </c>
      <c r="H193">
        <f>INDEX(Sheet2!B:B,MATCH(C193,Sheet2!A:A,0),1)</f>
        <v>979</v>
      </c>
      <c r="I193">
        <f>3-COUNTBLANK(D193:F193)</f>
        <v>0</v>
      </c>
      <c r="J193">
        <f>IF(I193&gt;=2,H193,0)</f>
        <v>0</v>
      </c>
    </row>
    <row r="194" spans="1:10" x14ac:dyDescent="0.3">
      <c r="A194" t="s">
        <v>269</v>
      </c>
      <c r="B194" t="s">
        <v>1333</v>
      </c>
      <c r="C194" t="s">
        <v>1334</v>
      </c>
      <c r="D194" t="s">
        <v>129</v>
      </c>
      <c r="F194" t="s">
        <v>1335</v>
      </c>
      <c r="G194" t="str" cm="1">
        <f t="array" ref="G194">_xlfn.IFS(
ISNUMBER(SEARCH("hold",C194)),"hold",
ISNUMBER(SEARCH("youth",C194)),"youth",
ISNUMBER(SEARCH("juve",C194)),"youth",
OR(ISNUMBER(SEARCH("health",B194)),ISNUMBER(SEARCH("care ",B194)),ISNUMBER(SEARCH("psych",B194)),ISNUMBER(SEARCH("medical",B194)),ISNUMBER(SEARCH("hospital",B194))),"medical",
ISNUMBER(SEARCH("correct",B194)),"correctional",
ISNUMBER(SEARCH("process",B194)),"processing",
ISNUMBER(SEARCH("detention center",B194)),"detention",
ISNUMBER(SEARCH("detention fac",B194)),"detention",
ISNUMBER(SEARCH("staging",B194)),"staging",
ISNUMBER(SEARCH("prison",B194)),"prison",
ISNUMBER(SEARCH("penet",B194)),"prison",
ISNUMBER(SEARCH("jail",B194)),"jail",
ISNUMBER(SEARCH("detention",B194)),"detention",
ISNUMBER(SEARCH("sheriff",B194)),"sheriff/police",
ISNUMBER(SEARCH("police",B194)),"sheriff/police",
TRUE,""
)</f>
        <v>jail</v>
      </c>
      <c r="H194">
        <f>INDEX(Sheet2!B:B,MATCH(C194,Sheet2!A:A,0),1)</f>
        <v>961</v>
      </c>
      <c r="I194">
        <f>3-COUNTBLANK(D194:F194)</f>
        <v>2</v>
      </c>
      <c r="J194">
        <f>IF(I194&gt;=2,H194,0)</f>
        <v>961</v>
      </c>
    </row>
    <row r="195" spans="1:10" x14ac:dyDescent="0.3">
      <c r="A195" t="s">
        <v>272</v>
      </c>
      <c r="B195" t="s">
        <v>1410</v>
      </c>
      <c r="C195" t="s">
        <v>1411</v>
      </c>
      <c r="D195" t="s">
        <v>174</v>
      </c>
      <c r="E195" t="s">
        <v>1408</v>
      </c>
      <c r="G195" t="str" cm="1">
        <f t="array" ref="G195">_xlfn.IFS(
ISNUMBER(SEARCH("hold",C195)),"hold",
ISNUMBER(SEARCH("youth",C195)),"youth",
ISNUMBER(SEARCH("juve",C195)),"youth",
OR(ISNUMBER(SEARCH("health",B195)),ISNUMBER(SEARCH("care ",B195)),ISNUMBER(SEARCH("psych",B195)),ISNUMBER(SEARCH("medical",B195)),ISNUMBER(SEARCH("hospital",B195))),"medical",
ISNUMBER(SEARCH("correct",B195)),"correctional",
ISNUMBER(SEARCH("process",B195)),"processing",
ISNUMBER(SEARCH("detention center",B195)),"detention",
ISNUMBER(SEARCH("detention fac",B195)),"detention",
ISNUMBER(SEARCH("staging",B195)),"staging",
ISNUMBER(SEARCH("prison",B195)),"prison",
ISNUMBER(SEARCH("penet",B195)),"prison",
ISNUMBER(SEARCH("jail",B195)),"jail",
ISNUMBER(SEARCH("detention",B195)),"detention",
ISNUMBER(SEARCH("sheriff",B195)),"sheriff/police",
ISNUMBER(SEARCH("police",B195)),"sheriff/police",
TRUE,""
)</f>
        <v>hold</v>
      </c>
      <c r="H195">
        <f>INDEX(Sheet2!B:B,MATCH(C195,Sheet2!A:A,0),1)</f>
        <v>952</v>
      </c>
      <c r="I195">
        <f>3-COUNTBLANK(D195:F195)</f>
        <v>2</v>
      </c>
      <c r="J195">
        <f>IF(I195&gt;=2,H195,0)</f>
        <v>952</v>
      </c>
    </row>
    <row r="196" spans="1:10" x14ac:dyDescent="0.3">
      <c r="A196" t="s">
        <v>276</v>
      </c>
      <c r="B196" t="s">
        <v>1011</v>
      </c>
      <c r="C196" t="s">
        <v>1012</v>
      </c>
      <c r="G196" t="str" cm="1">
        <f t="array" ref="G196">_xlfn.IFS(
ISNUMBER(SEARCH("hold",C196)),"hold",
ISNUMBER(SEARCH("youth",C196)),"youth",
ISNUMBER(SEARCH("juve",C196)),"youth",
OR(ISNUMBER(SEARCH("health",B196)),ISNUMBER(SEARCH("care ",B196)),ISNUMBER(SEARCH("psych",B196)),ISNUMBER(SEARCH("medical",B196)),ISNUMBER(SEARCH("hospital",B196))),"medical",
ISNUMBER(SEARCH("correct",B196)),"correctional",
ISNUMBER(SEARCH("process",B196)),"processing",
ISNUMBER(SEARCH("detention center",B196)),"detention",
ISNUMBER(SEARCH("detention fac",B196)),"detention",
ISNUMBER(SEARCH("staging",B196)),"staging",
ISNUMBER(SEARCH("prison",B196)),"prison",
ISNUMBER(SEARCH("penet",B196)),"prison",
ISNUMBER(SEARCH("jail",B196)),"jail",
ISNUMBER(SEARCH("detention",B196)),"detention",
ISNUMBER(SEARCH("sheriff",B196)),"sheriff/police",
ISNUMBER(SEARCH("police",B196)),"sheriff/police",
TRUE,""
)</f>
        <v>hold</v>
      </c>
      <c r="H196">
        <f>INDEX(Sheet2!B:B,MATCH(C196,Sheet2!A:A,0),1)</f>
        <v>950</v>
      </c>
      <c r="I196">
        <f>3-COUNTBLANK(D196:F196)</f>
        <v>0</v>
      </c>
      <c r="J196">
        <f>IF(I196&gt;=2,H196,0)</f>
        <v>0</v>
      </c>
    </row>
    <row r="197" spans="1:10" x14ac:dyDescent="0.3">
      <c r="A197" t="s">
        <v>279</v>
      </c>
      <c r="B197" t="s">
        <v>1077</v>
      </c>
      <c r="C197" t="s">
        <v>1078</v>
      </c>
      <c r="D197" t="s">
        <v>88</v>
      </c>
      <c r="F197" t="s">
        <v>2352</v>
      </c>
      <c r="G197" t="str" cm="1">
        <f t="array" ref="G197">_xlfn.IFS(
ISNUMBER(SEARCH("hold",C197)),"hold",
ISNUMBER(SEARCH("youth",C197)),"youth",
ISNUMBER(SEARCH("juve",C197)),"youth",
OR(ISNUMBER(SEARCH("health",B197)),ISNUMBER(SEARCH("care ",B197)),ISNUMBER(SEARCH("psych",B197)),ISNUMBER(SEARCH("medical",B197)),ISNUMBER(SEARCH("hospital",B197))),"medical",
ISNUMBER(SEARCH("correct",B197)),"correctional",
ISNUMBER(SEARCH("process",B197)),"processing",
ISNUMBER(SEARCH("detention center",B197)),"detention",
ISNUMBER(SEARCH("detention fac",B197)),"detention",
ISNUMBER(SEARCH("staging",B197)),"staging",
ISNUMBER(SEARCH("prison",B197)),"prison",
ISNUMBER(SEARCH("penet",B197)),"prison",
ISNUMBER(SEARCH("jail",B197)),"jail",
ISNUMBER(SEARCH("detention",B197)),"detention",
ISNUMBER(SEARCH("sheriff",B197)),"sheriff/police",
ISNUMBER(SEARCH("police",B197)),"sheriff/police",
TRUE,""
)</f>
        <v>jail</v>
      </c>
      <c r="H197">
        <f>INDEX(Sheet2!B:B,MATCH(C197,Sheet2!A:A,0),1)</f>
        <v>944</v>
      </c>
      <c r="I197">
        <f>3-COUNTBLANK(D197:F197)</f>
        <v>2</v>
      </c>
      <c r="J197">
        <f>IF(I197&gt;=2,H197,0)</f>
        <v>944</v>
      </c>
    </row>
    <row r="198" spans="1:10" x14ac:dyDescent="0.3">
      <c r="A198" t="s">
        <v>282</v>
      </c>
      <c r="B198" t="s">
        <v>1068</v>
      </c>
      <c r="C198" t="s">
        <v>1069</v>
      </c>
      <c r="G198" t="str" cm="1">
        <f t="array" ref="G198">_xlfn.IFS(
ISNUMBER(SEARCH("hold",C198)),"hold",
ISNUMBER(SEARCH("youth",C198)),"youth",
ISNUMBER(SEARCH("juve",C198)),"youth",
OR(ISNUMBER(SEARCH("health",B198)),ISNUMBER(SEARCH("care ",B198)),ISNUMBER(SEARCH("psych",B198)),ISNUMBER(SEARCH("medical",B198)),ISNUMBER(SEARCH("hospital",B198))),"medical",
ISNUMBER(SEARCH("correct",B198)),"correctional",
ISNUMBER(SEARCH("process",B198)),"processing",
ISNUMBER(SEARCH("detention center",B198)),"detention",
ISNUMBER(SEARCH("detention fac",B198)),"detention",
ISNUMBER(SEARCH("staging",B198)),"staging",
ISNUMBER(SEARCH("prison",B198)),"prison",
ISNUMBER(SEARCH("penet",B198)),"prison",
ISNUMBER(SEARCH("jail",B198)),"jail",
ISNUMBER(SEARCH("detention",B198)),"detention",
ISNUMBER(SEARCH("sheriff",B198)),"sheriff/police",
ISNUMBER(SEARCH("police",B198)),"sheriff/police",
TRUE,""
)</f>
        <v>hold</v>
      </c>
      <c r="H198">
        <f>INDEX(Sheet2!B:B,MATCH(C198,Sheet2!A:A,0),1)</f>
        <v>933</v>
      </c>
      <c r="I198">
        <f>3-COUNTBLANK(D198:F198)</f>
        <v>0</v>
      </c>
      <c r="J198">
        <f>IF(I198&gt;=2,H198,0)</f>
        <v>0</v>
      </c>
    </row>
    <row r="199" spans="1:10" x14ac:dyDescent="0.3">
      <c r="A199" t="s">
        <v>285</v>
      </c>
      <c r="B199" t="s">
        <v>743</v>
      </c>
      <c r="C199" t="s">
        <v>745</v>
      </c>
      <c r="D199" t="s">
        <v>83</v>
      </c>
      <c r="F199" t="s">
        <v>746</v>
      </c>
      <c r="G199" t="str" cm="1">
        <f t="array" ref="G199">_xlfn.IFS(
ISNUMBER(SEARCH("hold",C199)),"hold",
ISNUMBER(SEARCH("youth",C199)),"youth",
ISNUMBER(SEARCH("juve",C199)),"youth",
OR(ISNUMBER(SEARCH("health",B199)),ISNUMBER(SEARCH("care ",B199)),ISNUMBER(SEARCH("psych",B199)),ISNUMBER(SEARCH("medical",B199)),ISNUMBER(SEARCH("hospital",B199))),"medical",
ISNUMBER(SEARCH("correct",B199)),"correctional",
ISNUMBER(SEARCH("process",B199)),"processing",
ISNUMBER(SEARCH("detention center",B199)),"detention",
ISNUMBER(SEARCH("detention fac",B199)),"detention",
ISNUMBER(SEARCH("staging",B199)),"staging",
ISNUMBER(SEARCH("prison",B199)),"prison",
ISNUMBER(SEARCH("penet",B199)),"prison",
ISNUMBER(SEARCH("jail",B199)),"jail",
ISNUMBER(SEARCH("detention",B199)),"detention",
ISNUMBER(SEARCH("sheriff",B199)),"sheriff/police",
ISNUMBER(SEARCH("police",B199)),"sheriff/police",
TRUE,""
)</f>
        <v>jail</v>
      </c>
      <c r="H199">
        <f>INDEX(Sheet2!B:B,MATCH(C199,Sheet2!A:A,0),1)</f>
        <v>930</v>
      </c>
      <c r="I199">
        <f>3-COUNTBLANK(D199:F199)</f>
        <v>2</v>
      </c>
      <c r="J199">
        <f>IF(I199&gt;=2,H199,0)</f>
        <v>930</v>
      </c>
    </row>
    <row r="200" spans="1:10" x14ac:dyDescent="0.3">
      <c r="A200" t="s">
        <v>1746</v>
      </c>
      <c r="B200" t="s">
        <v>1926</v>
      </c>
      <c r="C200" t="s">
        <v>1927</v>
      </c>
      <c r="D200" t="s">
        <v>83</v>
      </c>
      <c r="F200" t="s">
        <v>2262</v>
      </c>
      <c r="G200" t="str" cm="1">
        <f t="array" ref="G200">_xlfn.IFS(
ISNUMBER(SEARCH("hold",C200)),"hold",
ISNUMBER(SEARCH("youth",C200)),"youth",
ISNUMBER(SEARCH("juve",C200)),"youth",
OR(ISNUMBER(SEARCH("health",B200)),ISNUMBER(SEARCH("care ",B200)),ISNUMBER(SEARCH("psych",B200)),ISNUMBER(SEARCH("medical",B200)),ISNUMBER(SEARCH("hospital",B200))),"medical",
ISNUMBER(SEARCH("correct",B200)),"correctional",
ISNUMBER(SEARCH("process",B200)),"processing",
ISNUMBER(SEARCH("detention center",B200)),"detention",
ISNUMBER(SEARCH("detention fac",B200)),"detention",
ISNUMBER(SEARCH("staging",B200)),"staging",
ISNUMBER(SEARCH("prison",B200)),"prison",
ISNUMBER(SEARCH("penet",B200)),"prison",
ISNUMBER(SEARCH("jail",B200)),"jail",
ISNUMBER(SEARCH("detention",B200)),"detention",
ISNUMBER(SEARCH("sheriff",B200)),"sheriff/police",
ISNUMBER(SEARCH("police",B200)),"sheriff/police",
TRUE,""
)</f>
        <v/>
      </c>
      <c r="H200">
        <f>INDEX(Sheet2!B:B,MATCH(C200,Sheet2!A:A,0),1)</f>
        <v>7963</v>
      </c>
      <c r="I200">
        <f>3-COUNTBLANK(D200:F200)</f>
        <v>2</v>
      </c>
      <c r="J200">
        <f>IF(I200&gt;=2,H200,0)</f>
        <v>7963</v>
      </c>
    </row>
    <row r="201" spans="1:10" x14ac:dyDescent="0.3">
      <c r="A201" t="s">
        <v>291</v>
      </c>
      <c r="B201" t="s">
        <v>1271</v>
      </c>
      <c r="C201" t="s">
        <v>1272</v>
      </c>
      <c r="D201" t="s">
        <v>121</v>
      </c>
      <c r="F201" t="s">
        <v>2368</v>
      </c>
      <c r="G201" t="str" cm="1">
        <f t="array" ref="G201">_xlfn.IFS(
ISNUMBER(SEARCH("hold",C201)),"hold",
ISNUMBER(SEARCH("youth",C201)),"youth",
ISNUMBER(SEARCH("juve",C201)),"youth",
OR(ISNUMBER(SEARCH("health",B201)),ISNUMBER(SEARCH("care ",B201)),ISNUMBER(SEARCH("psych",B201)),ISNUMBER(SEARCH("medical",B201)),ISNUMBER(SEARCH("hospital",B201))),"medical",
ISNUMBER(SEARCH("correct",B201)),"correctional",
ISNUMBER(SEARCH("process",B201)),"processing",
ISNUMBER(SEARCH("detention center",B201)),"detention",
ISNUMBER(SEARCH("detention fac",B201)),"detention",
ISNUMBER(SEARCH("staging",B201)),"staging",
ISNUMBER(SEARCH("prison",B201)),"prison",
ISNUMBER(SEARCH("penet",B201)),"prison",
ISNUMBER(SEARCH("jail",B201)),"jail",
ISNUMBER(SEARCH("detention",B201)),"detention",
ISNUMBER(SEARCH("sheriff",B201)),"sheriff/police",
ISNUMBER(SEARCH("police",B201)),"sheriff/police",
TRUE,""
)</f>
        <v>jail</v>
      </c>
      <c r="H201">
        <f>INDEX(Sheet2!B:B,MATCH(C201,Sheet2!A:A,0),1)</f>
        <v>919</v>
      </c>
      <c r="I201">
        <f>3-COUNTBLANK(D201:F201)</f>
        <v>2</v>
      </c>
      <c r="J201">
        <f>IF(I201&gt;=2,H201,0)</f>
        <v>919</v>
      </c>
    </row>
    <row r="202" spans="1:10" x14ac:dyDescent="0.3">
      <c r="A202" t="s">
        <v>294</v>
      </c>
      <c r="B202" t="s">
        <v>918</v>
      </c>
      <c r="C202" t="s">
        <v>919</v>
      </c>
      <c r="G202" t="str" cm="1">
        <f t="array" ref="G202">_xlfn.IFS(
ISNUMBER(SEARCH("hold",C202)),"hold",
ISNUMBER(SEARCH("youth",C202)),"youth",
ISNUMBER(SEARCH("juve",C202)),"youth",
OR(ISNUMBER(SEARCH("health",B202)),ISNUMBER(SEARCH("care ",B202)),ISNUMBER(SEARCH("psych",B202)),ISNUMBER(SEARCH("medical",B202)),ISNUMBER(SEARCH("hospital",B202))),"medical",
ISNUMBER(SEARCH("correct",B202)),"correctional",
ISNUMBER(SEARCH("process",B202)),"processing",
ISNUMBER(SEARCH("detention center",B202)),"detention",
ISNUMBER(SEARCH("detention fac",B202)),"detention",
ISNUMBER(SEARCH("staging",B202)),"staging",
ISNUMBER(SEARCH("prison",B202)),"prison",
ISNUMBER(SEARCH("penet",B202)),"prison",
ISNUMBER(SEARCH("jail",B202)),"jail",
ISNUMBER(SEARCH("detention",B202)),"detention",
ISNUMBER(SEARCH("sheriff",B202)),"sheriff/police",
ISNUMBER(SEARCH("police",B202)),"sheriff/police",
TRUE,""
)</f>
        <v>hold</v>
      </c>
      <c r="H202">
        <f>INDEX(Sheet2!B:B,MATCH(C202,Sheet2!A:A,0),1)</f>
        <v>890</v>
      </c>
      <c r="I202">
        <f>3-COUNTBLANK(D202:F202)</f>
        <v>0</v>
      </c>
      <c r="J202">
        <f>IF(I202&gt;=2,H202,0)</f>
        <v>0</v>
      </c>
    </row>
    <row r="203" spans="1:10" x14ac:dyDescent="0.3">
      <c r="A203" t="s">
        <v>297</v>
      </c>
      <c r="B203" t="s">
        <v>1413</v>
      </c>
      <c r="C203" t="s">
        <v>1414</v>
      </c>
      <c r="D203" t="s">
        <v>6</v>
      </c>
      <c r="G203" t="str" cm="1">
        <f t="array" ref="G203">_xlfn.IFS(
ISNUMBER(SEARCH("hold",C203)),"hold",
ISNUMBER(SEARCH("youth",C203)),"youth",
ISNUMBER(SEARCH("juve",C203)),"youth",
OR(ISNUMBER(SEARCH("health",B203)),ISNUMBER(SEARCH("care ",B203)),ISNUMBER(SEARCH("psych",B203)),ISNUMBER(SEARCH("medical",B203)),ISNUMBER(SEARCH("hospital",B203))),"medical",
ISNUMBER(SEARCH("correct",B203)),"correctional",
ISNUMBER(SEARCH("process",B203)),"processing",
ISNUMBER(SEARCH("detention center",B203)),"detention",
ISNUMBER(SEARCH("detention fac",B203)),"detention",
ISNUMBER(SEARCH("staging",B203)),"staging",
ISNUMBER(SEARCH("prison",B203)),"prison",
ISNUMBER(SEARCH("penet",B203)),"prison",
ISNUMBER(SEARCH("jail",B203)),"jail",
ISNUMBER(SEARCH("detention",B203)),"detention",
ISNUMBER(SEARCH("sheriff",B203)),"sheriff/police",
ISNUMBER(SEARCH("police",B203)),"sheriff/police",
TRUE,""
)</f>
        <v>jail</v>
      </c>
      <c r="H203">
        <f>INDEX(Sheet2!B:B,MATCH(C203,Sheet2!A:A,0),1)</f>
        <v>889</v>
      </c>
      <c r="I203">
        <f>3-COUNTBLANK(D203:F203)</f>
        <v>1</v>
      </c>
      <c r="J203">
        <f>IF(I203&gt;=2,H203,0)</f>
        <v>0</v>
      </c>
    </row>
    <row r="204" spans="1:10" x14ac:dyDescent="0.3">
      <c r="A204" t="s">
        <v>301</v>
      </c>
      <c r="B204" t="s">
        <v>1183</v>
      </c>
      <c r="C204" t="s">
        <v>1184</v>
      </c>
      <c r="G204" t="str" cm="1">
        <f t="array" ref="G204">_xlfn.IFS(
ISNUMBER(SEARCH("hold",C204)),"hold",
ISNUMBER(SEARCH("youth",C204)),"youth",
ISNUMBER(SEARCH("juve",C204)),"youth",
OR(ISNUMBER(SEARCH("health",B204)),ISNUMBER(SEARCH("care ",B204)),ISNUMBER(SEARCH("psych",B204)),ISNUMBER(SEARCH("medical",B204)),ISNUMBER(SEARCH("hospital",B204))),"medical",
ISNUMBER(SEARCH("correct",B204)),"correctional",
ISNUMBER(SEARCH("process",B204)),"processing",
ISNUMBER(SEARCH("detention center",B204)),"detention",
ISNUMBER(SEARCH("detention fac",B204)),"detention",
ISNUMBER(SEARCH("staging",B204)),"staging",
ISNUMBER(SEARCH("prison",B204)),"prison",
ISNUMBER(SEARCH("penet",B204)),"prison",
ISNUMBER(SEARCH("jail",B204)),"jail",
ISNUMBER(SEARCH("detention",B204)),"detention",
ISNUMBER(SEARCH("sheriff",B204)),"sheriff/police",
ISNUMBER(SEARCH("police",B204)),"sheriff/police",
TRUE,""
)</f>
        <v>hold</v>
      </c>
      <c r="H204">
        <f>INDEX(Sheet2!B:B,MATCH(C204,Sheet2!A:A,0),1)</f>
        <v>868</v>
      </c>
      <c r="I204">
        <f>3-COUNTBLANK(D204:F204)</f>
        <v>0</v>
      </c>
      <c r="J204">
        <f>IF(I204&gt;=2,H204,0)</f>
        <v>0</v>
      </c>
    </row>
    <row r="205" spans="1:10" x14ac:dyDescent="0.3">
      <c r="A205" t="s">
        <v>304</v>
      </c>
      <c r="B205" t="s">
        <v>2009</v>
      </c>
      <c r="C205" t="s">
        <v>90</v>
      </c>
      <c r="G205" t="str" cm="1">
        <f t="array" ref="G205">_xlfn.IFS(
ISNUMBER(SEARCH("hold",C205)),"hold",
ISNUMBER(SEARCH("youth",C205)),"youth",
ISNUMBER(SEARCH("juve",C205)),"youth",
OR(ISNUMBER(SEARCH("health",B205)),ISNUMBER(SEARCH("care ",B205)),ISNUMBER(SEARCH("psych",B205)),ISNUMBER(SEARCH("medical",B205)),ISNUMBER(SEARCH("hospital",B205))),"medical",
ISNUMBER(SEARCH("correct",B205)),"correctional",
ISNUMBER(SEARCH("process",B205)),"processing",
ISNUMBER(SEARCH("detention center",B205)),"detention",
ISNUMBER(SEARCH("detention fac",B205)),"detention",
ISNUMBER(SEARCH("staging",B205)),"staging",
ISNUMBER(SEARCH("prison",B205)),"prison",
ISNUMBER(SEARCH("penet",B205)),"prison",
ISNUMBER(SEARCH("jail",B205)),"jail",
ISNUMBER(SEARCH("detention",B205)),"detention",
ISNUMBER(SEARCH("sheriff",B205)),"sheriff/police",
ISNUMBER(SEARCH("police",B205)),"sheriff/police",
TRUE,""
)</f>
        <v>hold</v>
      </c>
      <c r="H205">
        <f>INDEX(Sheet2!B:B,MATCH(C205,Sheet2!A:A,0),1)</f>
        <v>857</v>
      </c>
      <c r="I205">
        <f>3-COUNTBLANK(D205:F205)</f>
        <v>0</v>
      </c>
      <c r="J205">
        <f>IF(I205&gt;=2,H205,0)</f>
        <v>0</v>
      </c>
    </row>
    <row r="206" spans="1:10" x14ac:dyDescent="0.3">
      <c r="A206" t="s">
        <v>307</v>
      </c>
      <c r="B206" t="s">
        <v>1061</v>
      </c>
      <c r="C206" t="s">
        <v>1062</v>
      </c>
      <c r="D206" t="s">
        <v>88</v>
      </c>
      <c r="F206" t="s">
        <v>2351</v>
      </c>
      <c r="G206" t="str" cm="1">
        <f t="array" ref="G206">_xlfn.IFS(
ISNUMBER(SEARCH("hold",C206)),"hold",
ISNUMBER(SEARCH("youth",C206)),"youth",
ISNUMBER(SEARCH("juve",C206)),"youth",
OR(ISNUMBER(SEARCH("health",B206)),ISNUMBER(SEARCH("care ",B206)),ISNUMBER(SEARCH("psych",B206)),ISNUMBER(SEARCH("medical",B206)),ISNUMBER(SEARCH("hospital",B206))),"medical",
ISNUMBER(SEARCH("correct",B206)),"correctional",
ISNUMBER(SEARCH("process",B206)),"processing",
ISNUMBER(SEARCH("detention center",B206)),"detention",
ISNUMBER(SEARCH("detention fac",B206)),"detention",
ISNUMBER(SEARCH("staging",B206)),"staging",
ISNUMBER(SEARCH("prison",B206)),"prison",
ISNUMBER(SEARCH("penet",B206)),"prison",
ISNUMBER(SEARCH("jail",B206)),"jail",
ISNUMBER(SEARCH("detention",B206)),"detention",
ISNUMBER(SEARCH("sheriff",B206)),"sheriff/police",
ISNUMBER(SEARCH("police",B206)),"sheriff/police",
TRUE,""
)</f>
        <v>jail</v>
      </c>
      <c r="H206">
        <f>INDEX(Sheet2!B:B,MATCH(C206,Sheet2!A:A,0),1)</f>
        <v>855</v>
      </c>
      <c r="I206">
        <f>3-COUNTBLANK(D206:F206)</f>
        <v>2</v>
      </c>
      <c r="J206">
        <f>IF(I206&gt;=2,H206,0)</f>
        <v>855</v>
      </c>
    </row>
    <row r="207" spans="1:10" x14ac:dyDescent="0.3">
      <c r="A207" t="s">
        <v>310</v>
      </c>
      <c r="B207" t="s">
        <v>1180</v>
      </c>
      <c r="C207" t="s">
        <v>1181</v>
      </c>
      <c r="G207" t="str" cm="1">
        <f t="array" ref="G207">_xlfn.IFS(
ISNUMBER(SEARCH("hold",C207)),"hold",
ISNUMBER(SEARCH("youth",C207)),"youth",
ISNUMBER(SEARCH("juve",C207)),"youth",
OR(ISNUMBER(SEARCH("health",B207)),ISNUMBER(SEARCH("care ",B207)),ISNUMBER(SEARCH("psych",B207)),ISNUMBER(SEARCH("medical",B207)),ISNUMBER(SEARCH("hospital",B207))),"medical",
ISNUMBER(SEARCH("correct",B207)),"correctional",
ISNUMBER(SEARCH("process",B207)),"processing",
ISNUMBER(SEARCH("detention center",B207)),"detention",
ISNUMBER(SEARCH("detention fac",B207)),"detention",
ISNUMBER(SEARCH("staging",B207)),"staging",
ISNUMBER(SEARCH("prison",B207)),"prison",
ISNUMBER(SEARCH("penet",B207)),"prison",
ISNUMBER(SEARCH("jail",B207)),"jail",
ISNUMBER(SEARCH("detention",B207)),"detention",
ISNUMBER(SEARCH("sheriff",B207)),"sheriff/police",
ISNUMBER(SEARCH("police",B207)),"sheriff/police",
TRUE,""
)</f>
        <v>hold</v>
      </c>
      <c r="H207">
        <f>INDEX(Sheet2!B:B,MATCH(C207,Sheet2!A:A,0),1)</f>
        <v>851</v>
      </c>
      <c r="I207">
        <f>3-COUNTBLANK(D207:F207)</f>
        <v>0</v>
      </c>
      <c r="J207">
        <f>IF(I207&gt;=2,H207,0)</f>
        <v>0</v>
      </c>
    </row>
    <row r="208" spans="1:10" x14ac:dyDescent="0.3">
      <c r="A208" t="s">
        <v>313</v>
      </c>
      <c r="B208" t="s">
        <v>722</v>
      </c>
      <c r="C208" t="s">
        <v>723</v>
      </c>
      <c r="D208" t="s">
        <v>170</v>
      </c>
      <c r="F208" t="s">
        <v>2326</v>
      </c>
      <c r="G208" t="str" cm="1">
        <f t="array" ref="G208">_xlfn.IFS(
ISNUMBER(SEARCH("hold",C208)),"hold",
ISNUMBER(SEARCH("youth",C208)),"youth",
ISNUMBER(SEARCH("juve",C208)),"youth",
OR(ISNUMBER(SEARCH("health",B208)),ISNUMBER(SEARCH("care ",B208)),ISNUMBER(SEARCH("psych",B208)),ISNUMBER(SEARCH("medical",B208)),ISNUMBER(SEARCH("hospital",B208))),"medical",
ISNUMBER(SEARCH("correct",B208)),"correctional",
ISNUMBER(SEARCH("process",B208)),"processing",
ISNUMBER(SEARCH("detention center",B208)),"detention",
ISNUMBER(SEARCH("detention fac",B208)),"detention",
ISNUMBER(SEARCH("staging",B208)),"staging",
ISNUMBER(SEARCH("prison",B208)),"prison",
ISNUMBER(SEARCH("penet",B208)),"prison",
ISNUMBER(SEARCH("jail",B208)),"jail",
ISNUMBER(SEARCH("detention",B208)),"detention",
ISNUMBER(SEARCH("sheriff",B208)),"sheriff/police",
ISNUMBER(SEARCH("police",B208)),"sheriff/police",
TRUE,""
)</f>
        <v>jail</v>
      </c>
      <c r="H208">
        <f>INDEX(Sheet2!B:B,MATCH(C208,Sheet2!A:A,0),1)</f>
        <v>841</v>
      </c>
      <c r="I208">
        <f>3-COUNTBLANK(D208:F208)</f>
        <v>2</v>
      </c>
      <c r="J208">
        <f>IF(I208&gt;=2,H208,0)</f>
        <v>841</v>
      </c>
    </row>
    <row r="209" spans="1:10" x14ac:dyDescent="0.3">
      <c r="A209" t="s">
        <v>316</v>
      </c>
      <c r="B209" t="s">
        <v>1789</v>
      </c>
      <c r="C209" t="s">
        <v>1790</v>
      </c>
      <c r="D209" t="s">
        <v>31</v>
      </c>
      <c r="G209" t="str" cm="1">
        <f t="array" ref="G209">_xlfn.IFS(
ISNUMBER(SEARCH("hold",C209)),"hold",
ISNUMBER(SEARCH("youth",C209)),"youth",
ISNUMBER(SEARCH("juve",C209)),"youth",
OR(ISNUMBER(SEARCH("health",B209)),ISNUMBER(SEARCH("care ",B209)),ISNUMBER(SEARCH("psych",B209)),ISNUMBER(SEARCH("medical",B209)),ISNUMBER(SEARCH("hospital",B209))),"medical",
ISNUMBER(SEARCH("correct",B209)),"correctional",
ISNUMBER(SEARCH("process",B209)),"processing",
ISNUMBER(SEARCH("detention center",B209)),"detention",
ISNUMBER(SEARCH("detention fac",B209)),"detention",
ISNUMBER(SEARCH("staging",B209)),"staging",
ISNUMBER(SEARCH("prison",B209)),"prison",
ISNUMBER(SEARCH("penet",B209)),"prison",
ISNUMBER(SEARCH("jail",B209)),"jail",
ISNUMBER(SEARCH("detention",B209)),"detention",
ISNUMBER(SEARCH("sheriff",B209)),"sheriff/police",
ISNUMBER(SEARCH("police",B209)),"sheriff/police",
TRUE,""
)</f>
        <v>processing</v>
      </c>
      <c r="H209">
        <f>INDEX(Sheet2!B:B,MATCH(C209,Sheet2!A:A,0),1)</f>
        <v>785</v>
      </c>
      <c r="I209">
        <f>3-COUNTBLANK(D209:F209)</f>
        <v>1</v>
      </c>
      <c r="J209">
        <f>IF(I209&gt;=2,H209,0)</f>
        <v>0</v>
      </c>
    </row>
    <row r="210" spans="1:10" x14ac:dyDescent="0.3">
      <c r="A210" t="s">
        <v>320</v>
      </c>
      <c r="B210" t="s">
        <v>1712</v>
      </c>
      <c r="C210" t="s">
        <v>1713</v>
      </c>
      <c r="G210" t="str" cm="1">
        <f t="array" ref="G210">_xlfn.IFS(
ISNUMBER(SEARCH("hold",C210)),"hold",
ISNUMBER(SEARCH("youth",C210)),"youth",
ISNUMBER(SEARCH("juve",C210)),"youth",
OR(ISNUMBER(SEARCH("health",B210)),ISNUMBER(SEARCH("care ",B210)),ISNUMBER(SEARCH("psych",B210)),ISNUMBER(SEARCH("medical",B210)),ISNUMBER(SEARCH("hospital",B210))),"medical",
ISNUMBER(SEARCH("correct",B210)),"correctional",
ISNUMBER(SEARCH("process",B210)),"processing",
ISNUMBER(SEARCH("detention center",B210)),"detention",
ISNUMBER(SEARCH("detention fac",B210)),"detention",
ISNUMBER(SEARCH("staging",B210)),"staging",
ISNUMBER(SEARCH("prison",B210)),"prison",
ISNUMBER(SEARCH("penet",B210)),"prison",
ISNUMBER(SEARCH("jail",B210)),"jail",
ISNUMBER(SEARCH("detention",B210)),"detention",
ISNUMBER(SEARCH("sheriff",B210)),"sheriff/police",
ISNUMBER(SEARCH("police",B210)),"sheriff/police",
TRUE,""
)</f>
        <v>hold</v>
      </c>
      <c r="H210">
        <f>INDEX(Sheet2!B:B,MATCH(C210,Sheet2!A:A,0),1)</f>
        <v>775</v>
      </c>
      <c r="I210">
        <f>3-COUNTBLANK(D210:F210)</f>
        <v>0</v>
      </c>
      <c r="J210">
        <f>IF(I210&gt;=2,H210,0)</f>
        <v>0</v>
      </c>
    </row>
    <row r="211" spans="1:10" x14ac:dyDescent="0.3">
      <c r="A211" t="s">
        <v>323</v>
      </c>
      <c r="B211" t="s">
        <v>909</v>
      </c>
      <c r="C211" t="s">
        <v>910</v>
      </c>
      <c r="G211" t="str" cm="1">
        <f t="array" ref="G211">_xlfn.IFS(
ISNUMBER(SEARCH("hold",C211)),"hold",
ISNUMBER(SEARCH("youth",C211)),"youth",
ISNUMBER(SEARCH("juve",C211)),"youth",
OR(ISNUMBER(SEARCH("health",B211)),ISNUMBER(SEARCH("care ",B211)),ISNUMBER(SEARCH("psych",B211)),ISNUMBER(SEARCH("medical",B211)),ISNUMBER(SEARCH("hospital",B211))),"medical",
ISNUMBER(SEARCH("correct",B211)),"correctional",
ISNUMBER(SEARCH("process",B211)),"processing",
ISNUMBER(SEARCH("detention center",B211)),"detention",
ISNUMBER(SEARCH("detention fac",B211)),"detention",
ISNUMBER(SEARCH("staging",B211)),"staging",
ISNUMBER(SEARCH("prison",B211)),"prison",
ISNUMBER(SEARCH("penet",B211)),"prison",
ISNUMBER(SEARCH("jail",B211)),"jail",
ISNUMBER(SEARCH("detention",B211)),"detention",
ISNUMBER(SEARCH("sheriff",B211)),"sheriff/police",
ISNUMBER(SEARCH("police",B211)),"sheriff/police",
TRUE,""
)</f>
        <v>hold</v>
      </c>
      <c r="H211">
        <f>INDEX(Sheet2!B:B,MATCH(C211,Sheet2!A:A,0),1)</f>
        <v>759</v>
      </c>
      <c r="I211">
        <f>3-COUNTBLANK(D211:F211)</f>
        <v>0</v>
      </c>
      <c r="J211">
        <f>IF(I211&gt;=2,H211,0)</f>
        <v>0</v>
      </c>
    </row>
    <row r="212" spans="1:10" x14ac:dyDescent="0.3">
      <c r="A212" t="s">
        <v>327</v>
      </c>
      <c r="B212" t="s">
        <v>143</v>
      </c>
      <c r="C212" t="s">
        <v>144</v>
      </c>
      <c r="G212" t="str" cm="1">
        <f t="array" ref="G212">_xlfn.IFS(
ISNUMBER(SEARCH("hold",C212)),"hold",
ISNUMBER(SEARCH("youth",C212)),"youth",
ISNUMBER(SEARCH("juve",C212)),"youth",
OR(ISNUMBER(SEARCH("health",B212)),ISNUMBER(SEARCH("care ",B212)),ISNUMBER(SEARCH("psych",B212)),ISNUMBER(SEARCH("medical",B212)),ISNUMBER(SEARCH("hospital",B212))),"medical",
ISNUMBER(SEARCH("correct",B212)),"correctional",
ISNUMBER(SEARCH("process",B212)),"processing",
ISNUMBER(SEARCH("detention center",B212)),"detention",
ISNUMBER(SEARCH("detention fac",B212)),"detention",
ISNUMBER(SEARCH("staging",B212)),"staging",
ISNUMBER(SEARCH("prison",B212)),"prison",
ISNUMBER(SEARCH("penet",B212)),"prison",
ISNUMBER(SEARCH("jail",B212)),"jail",
ISNUMBER(SEARCH("detention",B212)),"detention",
ISNUMBER(SEARCH("sheriff",B212)),"sheriff/police",
ISNUMBER(SEARCH("police",B212)),"sheriff/police",
TRUE,""
)</f>
        <v>hold</v>
      </c>
      <c r="H212">
        <f>INDEX(Sheet2!B:B,MATCH(C212,Sheet2!A:A,0),1)</f>
        <v>751</v>
      </c>
      <c r="I212">
        <f>3-COUNTBLANK(D212:F212)</f>
        <v>0</v>
      </c>
      <c r="J212">
        <f>IF(I212&gt;=2,H212,0)</f>
        <v>0</v>
      </c>
    </row>
    <row r="213" spans="1:10" x14ac:dyDescent="0.3">
      <c r="A213" t="s">
        <v>330</v>
      </c>
      <c r="B213" t="s">
        <v>539</v>
      </c>
      <c r="C213" t="s">
        <v>540</v>
      </c>
      <c r="D213" t="s">
        <v>73</v>
      </c>
      <c r="F213" t="s">
        <v>2247</v>
      </c>
      <c r="G213" t="str" cm="1">
        <f t="array" ref="G213">_xlfn.IFS(
ISNUMBER(SEARCH("hold",C213)),"hold",
ISNUMBER(SEARCH("youth",C213)),"youth",
ISNUMBER(SEARCH("juve",C213)),"youth",
OR(ISNUMBER(SEARCH("health",B213)),ISNUMBER(SEARCH("care ",B213)),ISNUMBER(SEARCH("psych",B213)),ISNUMBER(SEARCH("medical",B213)),ISNUMBER(SEARCH("hospital",B213))),"medical",
ISNUMBER(SEARCH("correct",B213)),"correctional",
ISNUMBER(SEARCH("process",B213)),"processing",
ISNUMBER(SEARCH("detention center",B213)),"detention",
ISNUMBER(SEARCH("detention fac",B213)),"detention",
ISNUMBER(SEARCH("staging",B213)),"staging",
ISNUMBER(SEARCH("prison",B213)),"prison",
ISNUMBER(SEARCH("penet",B213)),"prison",
ISNUMBER(SEARCH("jail",B213)),"jail",
ISNUMBER(SEARCH("detention",B213)),"detention",
ISNUMBER(SEARCH("sheriff",B213)),"sheriff/police",
ISNUMBER(SEARCH("police",B213)),"sheriff/police",
TRUE,""
)</f>
        <v>jail</v>
      </c>
      <c r="H213">
        <f>INDEX(Sheet2!B:B,MATCH(C213,Sheet2!A:A,0),1)</f>
        <v>748</v>
      </c>
      <c r="I213">
        <f>3-COUNTBLANK(D213:F213)</f>
        <v>2</v>
      </c>
      <c r="J213">
        <f>IF(I213&gt;=2,H213,0)</f>
        <v>748</v>
      </c>
    </row>
    <row r="214" spans="1:10" x14ac:dyDescent="0.3">
      <c r="A214" t="s">
        <v>333</v>
      </c>
      <c r="B214" t="s">
        <v>349</v>
      </c>
      <c r="C214" t="s">
        <v>350</v>
      </c>
      <c r="D214" t="s">
        <v>170</v>
      </c>
      <c r="F214" t="s">
        <v>2319</v>
      </c>
      <c r="G214" t="str" cm="1">
        <f t="array" ref="G214">_xlfn.IFS(
ISNUMBER(SEARCH("hold",C214)),"hold",
ISNUMBER(SEARCH("youth",C214)),"youth",
ISNUMBER(SEARCH("juve",C214)),"youth",
OR(ISNUMBER(SEARCH("health",B214)),ISNUMBER(SEARCH("care ",B214)),ISNUMBER(SEARCH("psych",B214)),ISNUMBER(SEARCH("medical",B214)),ISNUMBER(SEARCH("hospital",B214))),"medical",
ISNUMBER(SEARCH("correct",B214)),"correctional",
ISNUMBER(SEARCH("process",B214)),"processing",
ISNUMBER(SEARCH("detention center",B214)),"detention",
ISNUMBER(SEARCH("detention fac",B214)),"detention",
ISNUMBER(SEARCH("staging",B214)),"staging",
ISNUMBER(SEARCH("prison",B214)),"prison",
ISNUMBER(SEARCH("penet",B214)),"prison",
ISNUMBER(SEARCH("jail",B214)),"jail",
ISNUMBER(SEARCH("detention",B214)),"detention",
ISNUMBER(SEARCH("sheriff",B214)),"sheriff/police",
ISNUMBER(SEARCH("police",B214)),"sheriff/police",
TRUE,""
)</f>
        <v>jail</v>
      </c>
      <c r="H214">
        <f>INDEX(Sheet2!B:B,MATCH(C214,Sheet2!A:A,0),1)</f>
        <v>722</v>
      </c>
      <c r="I214">
        <f>3-COUNTBLANK(D214:F214)</f>
        <v>2</v>
      </c>
      <c r="J214">
        <f>IF(I214&gt;=2,H214,0)</f>
        <v>722</v>
      </c>
    </row>
    <row r="215" spans="1:10" x14ac:dyDescent="0.3">
      <c r="A215" t="s">
        <v>336</v>
      </c>
      <c r="B215" t="s">
        <v>824</v>
      </c>
      <c r="C215" t="s">
        <v>825</v>
      </c>
      <c r="D215" t="s">
        <v>133</v>
      </c>
      <c r="E215" t="s">
        <v>2465</v>
      </c>
      <c r="G215" t="str" cm="1">
        <f t="array" ref="G215">_xlfn.IFS(
ISNUMBER(SEARCH("hold",C215)),"hold",
ISNUMBER(SEARCH("youth",C215)),"youth",
ISNUMBER(SEARCH("juve",C215)),"youth",
OR(ISNUMBER(SEARCH("health",B215)),ISNUMBER(SEARCH("care ",B215)),ISNUMBER(SEARCH("psych",B215)),ISNUMBER(SEARCH("medical",B215)),ISNUMBER(SEARCH("hospital",B215))),"medical",
ISNUMBER(SEARCH("correct",B215)),"correctional",
ISNUMBER(SEARCH("process",B215)),"processing",
ISNUMBER(SEARCH("detention center",B215)),"detention",
ISNUMBER(SEARCH("detention fac",B215)),"detention",
ISNUMBER(SEARCH("staging",B215)),"staging",
ISNUMBER(SEARCH("prison",B215)),"prison",
ISNUMBER(SEARCH("penet",B215)),"prison",
ISNUMBER(SEARCH("jail",B215)),"jail",
ISNUMBER(SEARCH("detention",B215)),"detention",
ISNUMBER(SEARCH("sheriff",B215)),"sheriff/police",
ISNUMBER(SEARCH("police",B215)),"sheriff/police",
TRUE,""
)</f>
        <v>hold</v>
      </c>
      <c r="H215">
        <f>INDEX(Sheet2!B:B,MATCH(C215,Sheet2!A:A,0),1)</f>
        <v>701</v>
      </c>
      <c r="I215">
        <f>3-COUNTBLANK(D215:F215)</f>
        <v>2</v>
      </c>
      <c r="J215">
        <f>IF(I215&gt;=2,H215,0)</f>
        <v>701</v>
      </c>
    </row>
    <row r="216" spans="1:10" x14ac:dyDescent="0.3">
      <c r="A216" t="s">
        <v>339</v>
      </c>
      <c r="B216" t="s">
        <v>1610</v>
      </c>
      <c r="C216" t="s">
        <v>1611</v>
      </c>
      <c r="D216" t="s">
        <v>152</v>
      </c>
      <c r="E216" t="s">
        <v>2466</v>
      </c>
      <c r="G216" t="str" cm="1">
        <f t="array" ref="G216">_xlfn.IFS(
ISNUMBER(SEARCH("hold",C216)),"hold",
ISNUMBER(SEARCH("youth",C216)),"youth",
ISNUMBER(SEARCH("juve",C216)),"youth",
OR(ISNUMBER(SEARCH("health",B216)),ISNUMBER(SEARCH("care ",B216)),ISNUMBER(SEARCH("psych",B216)),ISNUMBER(SEARCH("medical",B216)),ISNUMBER(SEARCH("hospital",B216))),"medical",
ISNUMBER(SEARCH("correct",B216)),"correctional",
ISNUMBER(SEARCH("process",B216)),"processing",
ISNUMBER(SEARCH("detention center",B216)),"detention",
ISNUMBER(SEARCH("detention fac",B216)),"detention",
ISNUMBER(SEARCH("staging",B216)),"staging",
ISNUMBER(SEARCH("prison",B216)),"prison",
ISNUMBER(SEARCH("penet",B216)),"prison",
ISNUMBER(SEARCH("jail",B216)),"jail",
ISNUMBER(SEARCH("detention",B216)),"detention",
ISNUMBER(SEARCH("sheriff",B216)),"sheriff/police",
ISNUMBER(SEARCH("police",B216)),"sheriff/police",
TRUE,""
)</f>
        <v>hold</v>
      </c>
      <c r="H216">
        <f>INDEX(Sheet2!B:B,MATCH(C216,Sheet2!A:A,0),1)</f>
        <v>685</v>
      </c>
      <c r="I216">
        <f>3-COUNTBLANK(D216:F216)</f>
        <v>2</v>
      </c>
      <c r="J216">
        <f>IF(I216&gt;=2,H216,0)</f>
        <v>685</v>
      </c>
    </row>
    <row r="217" spans="1:10" x14ac:dyDescent="0.3">
      <c r="A217" t="s">
        <v>342</v>
      </c>
      <c r="B217" t="s">
        <v>711</v>
      </c>
      <c r="C217" t="s">
        <v>712</v>
      </c>
      <c r="D217" t="s">
        <v>72</v>
      </c>
      <c r="F217" t="s">
        <v>713</v>
      </c>
      <c r="G217" t="str" cm="1">
        <f t="array" ref="G217">_xlfn.IFS(
ISNUMBER(SEARCH("hold",C217)),"hold",
ISNUMBER(SEARCH("youth",C217)),"youth",
ISNUMBER(SEARCH("juve",C217)),"youth",
OR(ISNUMBER(SEARCH("health",B217)),ISNUMBER(SEARCH("care ",B217)),ISNUMBER(SEARCH("psych",B217)),ISNUMBER(SEARCH("medical",B217)),ISNUMBER(SEARCH("hospital",B217))),"medical",
ISNUMBER(SEARCH("correct",B217)),"correctional",
ISNUMBER(SEARCH("process",B217)),"processing",
ISNUMBER(SEARCH("detention center",B217)),"detention",
ISNUMBER(SEARCH("detention fac",B217)),"detention",
ISNUMBER(SEARCH("staging",B217)),"staging",
ISNUMBER(SEARCH("prison",B217)),"prison",
ISNUMBER(SEARCH("penet",B217)),"prison",
ISNUMBER(SEARCH("jail",B217)),"jail",
ISNUMBER(SEARCH("detention",B217)),"detention",
ISNUMBER(SEARCH("sheriff",B217)),"sheriff/police",
ISNUMBER(SEARCH("police",B217)),"sheriff/police",
TRUE,""
)</f>
        <v>jail</v>
      </c>
      <c r="H217">
        <f>INDEX(Sheet2!B:B,MATCH(C217,Sheet2!A:A,0),1)</f>
        <v>683</v>
      </c>
      <c r="I217">
        <f>3-COUNTBLANK(D217:F217)</f>
        <v>2</v>
      </c>
      <c r="J217">
        <f>IF(I217&gt;=2,H217,0)</f>
        <v>683</v>
      </c>
    </row>
    <row r="218" spans="1:10" x14ac:dyDescent="0.3">
      <c r="A218" t="s">
        <v>345</v>
      </c>
      <c r="B218" t="s">
        <v>1431</v>
      </c>
      <c r="C218" t="s">
        <v>1432</v>
      </c>
      <c r="D218" t="s">
        <v>238</v>
      </c>
      <c r="F218" t="s">
        <v>2379</v>
      </c>
      <c r="G218" t="str" cm="1">
        <f t="array" ref="G218">_xlfn.IFS(
ISNUMBER(SEARCH("hold",C218)),"hold",
ISNUMBER(SEARCH("youth",C218)),"youth",
ISNUMBER(SEARCH("juve",C218)),"youth",
OR(ISNUMBER(SEARCH("health",B218)),ISNUMBER(SEARCH("care ",B218)),ISNUMBER(SEARCH("psych",B218)),ISNUMBER(SEARCH("medical",B218)),ISNUMBER(SEARCH("hospital",B218))),"medical",
ISNUMBER(SEARCH("correct",B218)),"correctional",
ISNUMBER(SEARCH("process",B218)),"processing",
ISNUMBER(SEARCH("detention center",B218)),"detention",
ISNUMBER(SEARCH("detention fac",B218)),"detention",
ISNUMBER(SEARCH("staging",B218)),"staging",
ISNUMBER(SEARCH("prison",B218)),"prison",
ISNUMBER(SEARCH("penet",B218)),"prison",
ISNUMBER(SEARCH("jail",B218)),"jail",
ISNUMBER(SEARCH("detention",B218)),"detention",
ISNUMBER(SEARCH("sheriff",B218)),"sheriff/police",
ISNUMBER(SEARCH("police",B218)),"sheriff/police",
TRUE,""
)</f>
        <v>jail</v>
      </c>
      <c r="H218">
        <f>INDEX(Sheet2!B:B,MATCH(C218,Sheet2!A:A,0),1)</f>
        <v>677</v>
      </c>
      <c r="I218">
        <f>3-COUNTBLANK(D218:F218)</f>
        <v>2</v>
      </c>
      <c r="J218">
        <f>IF(I218&gt;=2,H218,0)</f>
        <v>677</v>
      </c>
    </row>
    <row r="219" spans="1:10" x14ac:dyDescent="0.3">
      <c r="A219" t="s">
        <v>348</v>
      </c>
      <c r="B219" t="s">
        <v>1753</v>
      </c>
      <c r="C219" t="s">
        <v>1754</v>
      </c>
      <c r="D219" t="s">
        <v>6</v>
      </c>
      <c r="F219" t="s">
        <v>2225</v>
      </c>
      <c r="G219" t="str" cm="1">
        <f t="array" ref="G219">_xlfn.IFS(
ISNUMBER(SEARCH("hold",C219)),"hold",
ISNUMBER(SEARCH("youth",C219)),"youth",
ISNUMBER(SEARCH("juve",C219)),"youth",
OR(ISNUMBER(SEARCH("health",B219)),ISNUMBER(SEARCH("care ",B219)),ISNUMBER(SEARCH("psych",B219)),ISNUMBER(SEARCH("medical",B219)),ISNUMBER(SEARCH("hospital",B219))),"medical",
ISNUMBER(SEARCH("correct",B219)),"correctional",
ISNUMBER(SEARCH("process",B219)),"processing",
ISNUMBER(SEARCH("detention center",B219)),"detention",
ISNUMBER(SEARCH("detention fac",B219)),"detention",
ISNUMBER(SEARCH("staging",B219)),"staging",
ISNUMBER(SEARCH("prison",B219)),"prison",
ISNUMBER(SEARCH("penet",B219)),"prison",
ISNUMBER(SEARCH("jail",B219)),"jail",
ISNUMBER(SEARCH("detention",B219)),"detention",
ISNUMBER(SEARCH("sheriff",B219)),"sheriff/police",
ISNUMBER(SEARCH("police",B219)),"sheriff/police",
TRUE,""
)</f>
        <v>jail</v>
      </c>
      <c r="H219">
        <f>INDEX(Sheet2!B:B,MATCH(C219,Sheet2!A:A,0),1)</f>
        <v>662</v>
      </c>
      <c r="I219">
        <f>3-COUNTBLANK(D219:F219)</f>
        <v>2</v>
      </c>
      <c r="J219">
        <f>IF(I219&gt;=2,H219,0)</f>
        <v>662</v>
      </c>
    </row>
    <row r="220" spans="1:10" x14ac:dyDescent="0.3">
      <c r="A220" t="s">
        <v>351</v>
      </c>
      <c r="B220" t="s">
        <v>954</v>
      </c>
      <c r="C220" t="s">
        <v>955</v>
      </c>
      <c r="D220" t="s">
        <v>87</v>
      </c>
      <c r="E220" t="s">
        <v>2467</v>
      </c>
      <c r="G220" t="str" cm="1">
        <f t="array" ref="G220">_xlfn.IFS(
ISNUMBER(SEARCH("hold",C220)),"hold",
ISNUMBER(SEARCH("youth",C220)),"youth",
ISNUMBER(SEARCH("juve",C220)),"youth",
OR(ISNUMBER(SEARCH("health",B220)),ISNUMBER(SEARCH("care ",B220)),ISNUMBER(SEARCH("psych",B220)),ISNUMBER(SEARCH("medical",B220)),ISNUMBER(SEARCH("hospital",B220))),"medical",
ISNUMBER(SEARCH("correct",B220)),"correctional",
ISNUMBER(SEARCH("process",B220)),"processing",
ISNUMBER(SEARCH("detention center",B220)),"detention",
ISNUMBER(SEARCH("detention fac",B220)),"detention",
ISNUMBER(SEARCH("staging",B220)),"staging",
ISNUMBER(SEARCH("prison",B220)),"prison",
ISNUMBER(SEARCH("penet",B220)),"prison",
ISNUMBER(SEARCH("jail",B220)),"jail",
ISNUMBER(SEARCH("detention",B220)),"detention",
ISNUMBER(SEARCH("sheriff",B220)),"sheriff/police",
ISNUMBER(SEARCH("police",B220)),"sheriff/police",
TRUE,""
)</f>
        <v>hold</v>
      </c>
      <c r="H220">
        <f>INDEX(Sheet2!B:B,MATCH(C220,Sheet2!A:A,0),1)</f>
        <v>653</v>
      </c>
      <c r="I220">
        <f>3-COUNTBLANK(D220:F220)</f>
        <v>2</v>
      </c>
      <c r="J220">
        <f>IF(I220&gt;=2,H220,0)</f>
        <v>653</v>
      </c>
    </row>
    <row r="221" spans="1:10" x14ac:dyDescent="0.3">
      <c r="A221" t="s">
        <v>354</v>
      </c>
      <c r="B221" t="s">
        <v>628</v>
      </c>
      <c r="C221" t="s">
        <v>629</v>
      </c>
      <c r="D221" t="s">
        <v>6</v>
      </c>
      <c r="G221" t="str" cm="1">
        <f t="array" ref="G221">_xlfn.IFS(
ISNUMBER(SEARCH("hold",C221)),"hold",
ISNUMBER(SEARCH("youth",C221)),"youth",
ISNUMBER(SEARCH("juve",C221)),"youth",
OR(ISNUMBER(SEARCH("health",B221)),ISNUMBER(SEARCH("care ",B221)),ISNUMBER(SEARCH("psych",B221)),ISNUMBER(SEARCH("medical",B221)),ISNUMBER(SEARCH("hospital",B221))),"medical",
ISNUMBER(SEARCH("correct",B221)),"correctional",
ISNUMBER(SEARCH("process",B221)),"processing",
ISNUMBER(SEARCH("detention center",B221)),"detention",
ISNUMBER(SEARCH("detention fac",B221)),"detention",
ISNUMBER(SEARCH("staging",B221)),"staging",
ISNUMBER(SEARCH("prison",B221)),"prison",
ISNUMBER(SEARCH("penet",B221)),"prison",
ISNUMBER(SEARCH("jail",B221)),"jail",
ISNUMBER(SEARCH("detention",B221)),"detention",
ISNUMBER(SEARCH("sheriff",B221)),"sheriff/police",
ISNUMBER(SEARCH("police",B221)),"sheriff/police",
TRUE,""
)</f>
        <v>medical</v>
      </c>
      <c r="H221">
        <f>INDEX(Sheet2!B:B,MATCH(C221,Sheet2!A:A,0),1)</f>
        <v>650</v>
      </c>
      <c r="I221">
        <f>3-COUNTBLANK(D221:F221)</f>
        <v>1</v>
      </c>
      <c r="J221">
        <f>IF(I221&gt;=2,H221,0)</f>
        <v>0</v>
      </c>
    </row>
    <row r="222" spans="1:10" x14ac:dyDescent="0.3">
      <c r="A222" t="s">
        <v>357</v>
      </c>
      <c r="B222" t="s">
        <v>1274</v>
      </c>
      <c r="C222" t="s">
        <v>1275</v>
      </c>
      <c r="D222" t="s">
        <v>99</v>
      </c>
      <c r="E222" t="s">
        <v>2469</v>
      </c>
      <c r="G222" t="str" cm="1">
        <f t="array" ref="G222">_xlfn.IFS(
ISNUMBER(SEARCH("hold",C222)),"hold",
ISNUMBER(SEARCH("youth",C222)),"youth",
ISNUMBER(SEARCH("juve",C222)),"youth",
OR(ISNUMBER(SEARCH("health",B222)),ISNUMBER(SEARCH("care ",B222)),ISNUMBER(SEARCH("psych",B222)),ISNUMBER(SEARCH("medical",B222)),ISNUMBER(SEARCH("hospital",B222))),"medical",
ISNUMBER(SEARCH("correct",B222)),"correctional",
ISNUMBER(SEARCH("process",B222)),"processing",
ISNUMBER(SEARCH("detention center",B222)),"detention",
ISNUMBER(SEARCH("detention fac",B222)),"detention",
ISNUMBER(SEARCH("staging",B222)),"staging",
ISNUMBER(SEARCH("prison",B222)),"prison",
ISNUMBER(SEARCH("penet",B222)),"prison",
ISNUMBER(SEARCH("jail",B222)),"jail",
ISNUMBER(SEARCH("detention",B222)),"detention",
ISNUMBER(SEARCH("sheriff",B222)),"sheriff/police",
ISNUMBER(SEARCH("police",B222)),"sheriff/police",
TRUE,""
)</f>
        <v>hold</v>
      </c>
      <c r="H222">
        <f>INDEX(Sheet2!B:B,MATCH(C222,Sheet2!A:A,0),1)</f>
        <v>631</v>
      </c>
      <c r="I222">
        <f>3-COUNTBLANK(D222:F222)</f>
        <v>2</v>
      </c>
      <c r="J222">
        <f>IF(I222&gt;=2,H222,0)</f>
        <v>631</v>
      </c>
    </row>
    <row r="223" spans="1:10" x14ac:dyDescent="0.3">
      <c r="A223" t="s">
        <v>360</v>
      </c>
      <c r="B223" t="s">
        <v>1310</v>
      </c>
      <c r="C223" t="s">
        <v>1311</v>
      </c>
      <c r="D223" t="s">
        <v>227</v>
      </c>
      <c r="E223" t="s">
        <v>2468</v>
      </c>
      <c r="G223" t="str" cm="1">
        <f t="array" ref="G223">_xlfn.IFS(
ISNUMBER(SEARCH("hold",C223)),"hold",
ISNUMBER(SEARCH("youth",C223)),"youth",
ISNUMBER(SEARCH("juve",C223)),"youth",
OR(ISNUMBER(SEARCH("health",B223)),ISNUMBER(SEARCH("care ",B223)),ISNUMBER(SEARCH("psych",B223)),ISNUMBER(SEARCH("medical",B223)),ISNUMBER(SEARCH("hospital",B223))),"medical",
ISNUMBER(SEARCH("correct",B223)),"correctional",
ISNUMBER(SEARCH("process",B223)),"processing",
ISNUMBER(SEARCH("detention center",B223)),"detention",
ISNUMBER(SEARCH("detention fac",B223)),"detention",
ISNUMBER(SEARCH("staging",B223)),"staging",
ISNUMBER(SEARCH("prison",B223)),"prison",
ISNUMBER(SEARCH("penet",B223)),"prison",
ISNUMBER(SEARCH("jail",B223)),"jail",
ISNUMBER(SEARCH("detention",B223)),"detention",
ISNUMBER(SEARCH("sheriff",B223)),"sheriff/police",
ISNUMBER(SEARCH("police",B223)),"sheriff/police",
TRUE,""
)</f>
        <v>hold</v>
      </c>
      <c r="H223">
        <f>INDEX(Sheet2!B:B,MATCH(C223,Sheet2!A:A,0),1)</f>
        <v>631</v>
      </c>
      <c r="I223">
        <f>3-COUNTBLANK(D223:F223)</f>
        <v>2</v>
      </c>
      <c r="J223">
        <f>IF(I223&gt;=2,H223,0)</f>
        <v>631</v>
      </c>
    </row>
    <row r="224" spans="1:10" x14ac:dyDescent="0.3">
      <c r="A224" t="s">
        <v>364</v>
      </c>
      <c r="B224" t="s">
        <v>487</v>
      </c>
      <c r="C224" t="s">
        <v>488</v>
      </c>
      <c r="G224" t="str" cm="1">
        <f t="array" ref="G224">_xlfn.IFS(
ISNUMBER(SEARCH("hold",C224)),"hold",
ISNUMBER(SEARCH("youth",C224)),"youth",
ISNUMBER(SEARCH("juve",C224)),"youth",
OR(ISNUMBER(SEARCH("health",B224)),ISNUMBER(SEARCH("care ",B224)),ISNUMBER(SEARCH("psych",B224)),ISNUMBER(SEARCH("medical",B224)),ISNUMBER(SEARCH("hospital",B224))),"medical",
ISNUMBER(SEARCH("correct",B224)),"correctional",
ISNUMBER(SEARCH("process",B224)),"processing",
ISNUMBER(SEARCH("detention center",B224)),"detention",
ISNUMBER(SEARCH("detention fac",B224)),"detention",
ISNUMBER(SEARCH("staging",B224)),"staging",
ISNUMBER(SEARCH("prison",B224)),"prison",
ISNUMBER(SEARCH("penet",B224)),"prison",
ISNUMBER(SEARCH("jail",B224)),"jail",
ISNUMBER(SEARCH("detention",B224)),"detention",
ISNUMBER(SEARCH("sheriff",B224)),"sheriff/police",
ISNUMBER(SEARCH("police",B224)),"sheriff/police",
TRUE,""
)</f>
        <v>detention</v>
      </c>
      <c r="H224">
        <f>INDEX(Sheet2!B:B,MATCH(C224,Sheet2!A:A,0),1)</f>
        <v>611</v>
      </c>
      <c r="I224">
        <f>3-COUNTBLANK(D224:F224)</f>
        <v>0</v>
      </c>
      <c r="J224">
        <f>IF(I224&gt;=2,H224,0)</f>
        <v>0</v>
      </c>
    </row>
    <row r="225" spans="1:10" x14ac:dyDescent="0.3">
      <c r="A225" t="s">
        <v>367</v>
      </c>
      <c r="B225" t="s">
        <v>53</v>
      </c>
      <c r="C225" t="s">
        <v>54</v>
      </c>
      <c r="D225" t="s">
        <v>55</v>
      </c>
      <c r="F225" t="s">
        <v>2241</v>
      </c>
      <c r="G225" t="str" cm="1">
        <f t="array" ref="G225">_xlfn.IFS(
ISNUMBER(SEARCH("hold",C225)),"hold",
ISNUMBER(SEARCH("youth",C225)),"youth",
ISNUMBER(SEARCH("juve",C225)),"youth",
OR(ISNUMBER(SEARCH("health",B225)),ISNUMBER(SEARCH("care ",B225)),ISNUMBER(SEARCH("psych",B225)),ISNUMBER(SEARCH("medical",B225)),ISNUMBER(SEARCH("hospital",B225))),"medical",
ISNUMBER(SEARCH("correct",B225)),"correctional",
ISNUMBER(SEARCH("process",B225)),"processing",
ISNUMBER(SEARCH("detention center",B225)),"detention",
ISNUMBER(SEARCH("detention fac",B225)),"detention",
ISNUMBER(SEARCH("staging",B225)),"staging",
ISNUMBER(SEARCH("prison",B225)),"prison",
ISNUMBER(SEARCH("penet",B225)),"prison",
ISNUMBER(SEARCH("jail",B225)),"jail",
ISNUMBER(SEARCH("detention",B225)),"detention",
ISNUMBER(SEARCH("sheriff",B225)),"sheriff/police",
ISNUMBER(SEARCH("police",B225)),"sheriff/police",
TRUE,""
)</f>
        <v>jail</v>
      </c>
      <c r="H225">
        <f>INDEX(Sheet2!B:B,MATCH(C225,Sheet2!A:A,0),1)</f>
        <v>608</v>
      </c>
      <c r="I225">
        <f>3-COUNTBLANK(D225:F225)</f>
        <v>2</v>
      </c>
      <c r="J225">
        <f>IF(I225&gt;=2,H225,0)</f>
        <v>608</v>
      </c>
    </row>
    <row r="226" spans="1:10" x14ac:dyDescent="0.3">
      <c r="A226" t="s">
        <v>370</v>
      </c>
      <c r="B226" t="s">
        <v>1096</v>
      </c>
      <c r="C226" t="s">
        <v>1097</v>
      </c>
      <c r="D226" t="s">
        <v>87</v>
      </c>
      <c r="E226" t="s">
        <v>2470</v>
      </c>
      <c r="G226" t="str" cm="1">
        <f t="array" ref="G226">_xlfn.IFS(
ISNUMBER(SEARCH("hold",C226)),"hold",
ISNUMBER(SEARCH("youth",C226)),"youth",
ISNUMBER(SEARCH("juve",C226)),"youth",
OR(ISNUMBER(SEARCH("health",B226)),ISNUMBER(SEARCH("care ",B226)),ISNUMBER(SEARCH("psych",B226)),ISNUMBER(SEARCH("medical",B226)),ISNUMBER(SEARCH("hospital",B226))),"medical",
ISNUMBER(SEARCH("correct",B226)),"correctional",
ISNUMBER(SEARCH("process",B226)),"processing",
ISNUMBER(SEARCH("detention center",B226)),"detention",
ISNUMBER(SEARCH("detention fac",B226)),"detention",
ISNUMBER(SEARCH("staging",B226)),"staging",
ISNUMBER(SEARCH("prison",B226)),"prison",
ISNUMBER(SEARCH("penet",B226)),"prison",
ISNUMBER(SEARCH("jail",B226)),"jail",
ISNUMBER(SEARCH("detention",B226)),"detention",
ISNUMBER(SEARCH("sheriff",B226)),"sheriff/police",
ISNUMBER(SEARCH("police",B226)),"sheriff/police",
TRUE,""
)</f>
        <v>hold</v>
      </c>
      <c r="H226">
        <f>INDEX(Sheet2!B:B,MATCH(C226,Sheet2!A:A,0),1)</f>
        <v>593</v>
      </c>
      <c r="I226">
        <f>3-COUNTBLANK(D226:F226)</f>
        <v>2</v>
      </c>
      <c r="J226">
        <f>IF(I226&gt;=2,H226,0)</f>
        <v>593</v>
      </c>
    </row>
    <row r="227" spans="1:10" x14ac:dyDescent="0.3">
      <c r="A227" t="s">
        <v>373</v>
      </c>
      <c r="B227" t="s">
        <v>210</v>
      </c>
      <c r="C227" t="s">
        <v>211</v>
      </c>
      <c r="D227" t="s">
        <v>185</v>
      </c>
      <c r="F227" t="s">
        <v>212</v>
      </c>
      <c r="G227" t="str" cm="1">
        <f t="array" ref="G227">_xlfn.IFS(
ISNUMBER(SEARCH("hold",C227)),"hold",
ISNUMBER(SEARCH("youth",C227)),"youth",
ISNUMBER(SEARCH("juve",C227)),"youth",
OR(ISNUMBER(SEARCH("health",B227)),ISNUMBER(SEARCH("care ",B227)),ISNUMBER(SEARCH("psych",B227)),ISNUMBER(SEARCH("medical",B227)),ISNUMBER(SEARCH("hospital",B227))),"medical",
ISNUMBER(SEARCH("correct",B227)),"correctional",
ISNUMBER(SEARCH("process",B227)),"processing",
ISNUMBER(SEARCH("detention center",B227)),"detention",
ISNUMBER(SEARCH("detention fac",B227)),"detention",
ISNUMBER(SEARCH("staging",B227)),"staging",
ISNUMBER(SEARCH("prison",B227)),"prison",
ISNUMBER(SEARCH("penet",B227)),"prison",
ISNUMBER(SEARCH("jail",B227)),"jail",
ISNUMBER(SEARCH("detention",B227)),"detention",
ISNUMBER(SEARCH("sheriff",B227)),"sheriff/police",
ISNUMBER(SEARCH("police",B227)),"sheriff/police",
TRUE,""
)</f>
        <v>jail</v>
      </c>
      <c r="H227">
        <f>INDEX(Sheet2!B:B,MATCH(C227,Sheet2!A:A,0),1)</f>
        <v>591</v>
      </c>
      <c r="I227">
        <f>3-COUNTBLANK(D227:F227)</f>
        <v>2</v>
      </c>
      <c r="J227">
        <f>IF(I227&gt;=2,H227,0)</f>
        <v>591</v>
      </c>
    </row>
    <row r="228" spans="1:10" x14ac:dyDescent="0.3">
      <c r="A228" t="s">
        <v>376</v>
      </c>
      <c r="B228" t="s">
        <v>1296</v>
      </c>
      <c r="C228" t="s">
        <v>1297</v>
      </c>
      <c r="G228" t="str" cm="1">
        <f t="array" ref="G228">_xlfn.IFS(
ISNUMBER(SEARCH("hold",C228)),"hold",
ISNUMBER(SEARCH("youth",C228)),"youth",
ISNUMBER(SEARCH("juve",C228)),"youth",
OR(ISNUMBER(SEARCH("health",B228)),ISNUMBER(SEARCH("care ",B228)),ISNUMBER(SEARCH("psych",B228)),ISNUMBER(SEARCH("medical",B228)),ISNUMBER(SEARCH("hospital",B228))),"medical",
ISNUMBER(SEARCH("correct",B228)),"correctional",
ISNUMBER(SEARCH("process",B228)),"processing",
ISNUMBER(SEARCH("detention center",B228)),"detention",
ISNUMBER(SEARCH("detention fac",B228)),"detention",
ISNUMBER(SEARCH("staging",B228)),"staging",
ISNUMBER(SEARCH("prison",B228)),"prison",
ISNUMBER(SEARCH("penet",B228)),"prison",
ISNUMBER(SEARCH("jail",B228)),"jail",
ISNUMBER(SEARCH("detention",B228)),"detention",
ISNUMBER(SEARCH("sheriff",B228)),"sheriff/police",
ISNUMBER(SEARCH("police",B228)),"sheriff/police",
TRUE,""
)</f>
        <v>jail</v>
      </c>
      <c r="H228">
        <f>INDEX(Sheet2!B:B,MATCH(C228,Sheet2!A:A,0),1)</f>
        <v>589</v>
      </c>
      <c r="I228">
        <f>3-COUNTBLANK(D228:F228)</f>
        <v>0</v>
      </c>
      <c r="J228">
        <f>IF(I228&gt;=2,H228,0)</f>
        <v>0</v>
      </c>
    </row>
    <row r="229" spans="1:10" x14ac:dyDescent="0.3">
      <c r="A229" t="s">
        <v>379</v>
      </c>
      <c r="B229" t="s">
        <v>1225</v>
      </c>
      <c r="C229" t="s">
        <v>1226</v>
      </c>
      <c r="G229" t="str" cm="1">
        <f t="array" ref="G229">_xlfn.IFS(
ISNUMBER(SEARCH("hold",C229)),"hold",
ISNUMBER(SEARCH("youth",C229)),"youth",
ISNUMBER(SEARCH("juve",C229)),"youth",
OR(ISNUMBER(SEARCH("health",B229)),ISNUMBER(SEARCH("care ",B229)),ISNUMBER(SEARCH("psych",B229)),ISNUMBER(SEARCH("medical",B229)),ISNUMBER(SEARCH("hospital",B229))),"medical",
ISNUMBER(SEARCH("correct",B229)),"correctional",
ISNUMBER(SEARCH("process",B229)),"processing",
ISNUMBER(SEARCH("detention center",B229)),"detention",
ISNUMBER(SEARCH("detention fac",B229)),"detention",
ISNUMBER(SEARCH("staging",B229)),"staging",
ISNUMBER(SEARCH("prison",B229)),"prison",
ISNUMBER(SEARCH("penet",B229)),"prison",
ISNUMBER(SEARCH("jail",B229)),"jail",
ISNUMBER(SEARCH("detention",B229)),"detention",
ISNUMBER(SEARCH("sheriff",B229)),"sheriff/police",
ISNUMBER(SEARCH("police",B229)),"sheriff/police",
TRUE,""
)</f>
        <v>hold</v>
      </c>
      <c r="H229">
        <f>INDEX(Sheet2!B:B,MATCH(C229,Sheet2!A:A,0),1)</f>
        <v>587</v>
      </c>
      <c r="I229">
        <f>3-COUNTBLANK(D229:F229)</f>
        <v>0</v>
      </c>
      <c r="J229">
        <f>IF(I229&gt;=2,H229,0)</f>
        <v>0</v>
      </c>
    </row>
    <row r="230" spans="1:10" x14ac:dyDescent="0.3">
      <c r="A230" t="s">
        <v>382</v>
      </c>
      <c r="B230" t="s">
        <v>1900</v>
      </c>
      <c r="C230" t="s">
        <v>1901</v>
      </c>
      <c r="G230" t="str" cm="1">
        <f t="array" ref="G230">_xlfn.IFS(
ISNUMBER(SEARCH("hold",C230)),"hold",
ISNUMBER(SEARCH("youth",C230)),"youth",
ISNUMBER(SEARCH("juve",C230)),"youth",
OR(ISNUMBER(SEARCH("health",B230)),ISNUMBER(SEARCH("care ",B230)),ISNUMBER(SEARCH("psych",B230)),ISNUMBER(SEARCH("medical",B230)),ISNUMBER(SEARCH("hospital",B230))),"medical",
ISNUMBER(SEARCH("correct",B230)),"correctional",
ISNUMBER(SEARCH("process",B230)),"processing",
ISNUMBER(SEARCH("detention center",B230)),"detention",
ISNUMBER(SEARCH("detention fac",B230)),"detention",
ISNUMBER(SEARCH("staging",B230)),"staging",
ISNUMBER(SEARCH("prison",B230)),"prison",
ISNUMBER(SEARCH("penet",B230)),"prison",
ISNUMBER(SEARCH("jail",B230)),"jail",
ISNUMBER(SEARCH("detention",B230)),"detention",
ISNUMBER(SEARCH("sheriff",B230)),"sheriff/police",
ISNUMBER(SEARCH("police",B230)),"sheriff/police",
TRUE,""
)</f>
        <v>correctional</v>
      </c>
      <c r="H230">
        <f>INDEX(Sheet2!B:B,MATCH(C230,Sheet2!A:A,0),1)</f>
        <v>586</v>
      </c>
      <c r="I230">
        <f>3-COUNTBLANK(D230:F230)</f>
        <v>0</v>
      </c>
      <c r="J230">
        <f>IF(I230&gt;=2,H230,0)</f>
        <v>0</v>
      </c>
    </row>
    <row r="231" spans="1:10" x14ac:dyDescent="0.3">
      <c r="A231" t="s">
        <v>385</v>
      </c>
      <c r="B231" t="s">
        <v>1094</v>
      </c>
      <c r="C231" t="s">
        <v>1093</v>
      </c>
      <c r="G231" t="str" cm="1">
        <f t="array" ref="G231">_xlfn.IFS(
ISNUMBER(SEARCH("hold",C231)),"hold",
ISNUMBER(SEARCH("youth",C231)),"youth",
ISNUMBER(SEARCH("juve",C231)),"youth",
OR(ISNUMBER(SEARCH("health",B231)),ISNUMBER(SEARCH("care ",B231)),ISNUMBER(SEARCH("psych",B231)),ISNUMBER(SEARCH("medical",B231)),ISNUMBER(SEARCH("hospital",B231))),"medical",
ISNUMBER(SEARCH("correct",B231)),"correctional",
ISNUMBER(SEARCH("process",B231)),"processing",
ISNUMBER(SEARCH("detention center",B231)),"detention",
ISNUMBER(SEARCH("detention fac",B231)),"detention",
ISNUMBER(SEARCH("staging",B231)),"staging",
ISNUMBER(SEARCH("prison",B231)),"prison",
ISNUMBER(SEARCH("penet",B231)),"prison",
ISNUMBER(SEARCH("jail",B231)),"jail",
ISNUMBER(SEARCH("detention",B231)),"detention",
ISNUMBER(SEARCH("sheriff",B231)),"sheriff/police",
ISNUMBER(SEARCH("police",B231)),"sheriff/police",
TRUE,""
)</f>
        <v>hold</v>
      </c>
      <c r="H231">
        <f>INDEX(Sheet2!B:B,MATCH(C231,Sheet2!A:A,0),1)</f>
        <v>583</v>
      </c>
      <c r="I231">
        <f>3-COUNTBLANK(D231:F231)</f>
        <v>0</v>
      </c>
      <c r="J231">
        <f>IF(I231&gt;=2,H231,0)</f>
        <v>0</v>
      </c>
    </row>
    <row r="232" spans="1:10" x14ac:dyDescent="0.3">
      <c r="A232" t="s">
        <v>388</v>
      </c>
      <c r="B232" t="s">
        <v>246</v>
      </c>
      <c r="C232" t="s">
        <v>247</v>
      </c>
      <c r="D232" t="s">
        <v>82</v>
      </c>
      <c r="F232" t="s">
        <v>2310</v>
      </c>
      <c r="G232" t="str" cm="1">
        <f t="array" ref="G232">_xlfn.IFS(
ISNUMBER(SEARCH("hold",C232)),"hold",
ISNUMBER(SEARCH("youth",C232)),"youth",
ISNUMBER(SEARCH("juve",C232)),"youth",
OR(ISNUMBER(SEARCH("health",B232)),ISNUMBER(SEARCH("care ",B232)),ISNUMBER(SEARCH("psych",B232)),ISNUMBER(SEARCH("medical",B232)),ISNUMBER(SEARCH("hospital",B232))),"medical",
ISNUMBER(SEARCH("correct",B232)),"correctional",
ISNUMBER(SEARCH("process",B232)),"processing",
ISNUMBER(SEARCH("detention center",B232)),"detention",
ISNUMBER(SEARCH("detention fac",B232)),"detention",
ISNUMBER(SEARCH("staging",B232)),"staging",
ISNUMBER(SEARCH("prison",B232)),"prison",
ISNUMBER(SEARCH("penet",B232)),"prison",
ISNUMBER(SEARCH("jail",B232)),"jail",
ISNUMBER(SEARCH("detention",B232)),"detention",
ISNUMBER(SEARCH("sheriff",B232)),"sheriff/police",
ISNUMBER(SEARCH("police",B232)),"sheriff/police",
TRUE,""
)</f>
        <v>detention</v>
      </c>
      <c r="H232">
        <f>INDEX(Sheet2!B:B,MATCH(C232,Sheet2!A:A,0),1)</f>
        <v>578</v>
      </c>
      <c r="I232">
        <f>3-COUNTBLANK(D232:F232)</f>
        <v>2</v>
      </c>
      <c r="J232">
        <f>IF(I232&gt;=2,H232,0)</f>
        <v>578</v>
      </c>
    </row>
    <row r="233" spans="1:10" x14ac:dyDescent="0.3">
      <c r="A233" t="s">
        <v>391</v>
      </c>
      <c r="B233" t="s">
        <v>1039</v>
      </c>
      <c r="C233" t="s">
        <v>1040</v>
      </c>
      <c r="F233" t="s">
        <v>2395</v>
      </c>
      <c r="G233" t="str" cm="1">
        <f t="array" ref="G233">_xlfn.IFS(
ISNUMBER(SEARCH("hold",C233)),"hold",
ISNUMBER(SEARCH("youth",C233)),"youth",
ISNUMBER(SEARCH("juve",C233)),"youth",
OR(ISNUMBER(SEARCH("health",B233)),ISNUMBER(SEARCH("care ",B233)),ISNUMBER(SEARCH("psych",B233)),ISNUMBER(SEARCH("medical",B233)),ISNUMBER(SEARCH("hospital",B233))),"medical",
ISNUMBER(SEARCH("correct",B233)),"correctional",
ISNUMBER(SEARCH("process",B233)),"processing",
ISNUMBER(SEARCH("detention center",B233)),"detention",
ISNUMBER(SEARCH("detention fac",B233)),"detention",
ISNUMBER(SEARCH("staging",B233)),"staging",
ISNUMBER(SEARCH("prison",B233)),"prison",
ISNUMBER(SEARCH("penet",B233)),"prison",
ISNUMBER(SEARCH("jail",B233)),"jail",
ISNUMBER(SEARCH("detention",B233)),"detention",
ISNUMBER(SEARCH("sheriff",B233)),"sheriff/police",
ISNUMBER(SEARCH("police",B233)),"sheriff/police",
TRUE,""
)</f>
        <v>hold</v>
      </c>
      <c r="H233">
        <f>INDEX(Sheet2!B:B,MATCH(C233,Sheet2!A:A,0),1)</f>
        <v>574</v>
      </c>
      <c r="I233">
        <f>3-COUNTBLANK(D233:F233)</f>
        <v>1</v>
      </c>
      <c r="J233">
        <f>IF(I233&gt;=2,H233,0)</f>
        <v>0</v>
      </c>
    </row>
    <row r="234" spans="1:10" x14ac:dyDescent="0.3">
      <c r="A234" t="s">
        <v>394</v>
      </c>
      <c r="B234" t="s">
        <v>1390</v>
      </c>
      <c r="C234" t="s">
        <v>1391</v>
      </c>
      <c r="D234" t="s">
        <v>87</v>
      </c>
      <c r="F234" t="s">
        <v>1392</v>
      </c>
      <c r="G234" t="str" cm="1">
        <f t="array" ref="G234">_xlfn.IFS(
ISNUMBER(SEARCH("hold",C234)),"hold",
ISNUMBER(SEARCH("youth",C234)),"youth",
ISNUMBER(SEARCH("juve",C234)),"youth",
OR(ISNUMBER(SEARCH("health",B234)),ISNUMBER(SEARCH("care ",B234)),ISNUMBER(SEARCH("psych",B234)),ISNUMBER(SEARCH("medical",B234)),ISNUMBER(SEARCH("hospital",B234))),"medical",
ISNUMBER(SEARCH("correct",B234)),"correctional",
ISNUMBER(SEARCH("process",B234)),"processing",
ISNUMBER(SEARCH("detention center",B234)),"detention",
ISNUMBER(SEARCH("detention fac",B234)),"detention",
ISNUMBER(SEARCH("staging",B234)),"staging",
ISNUMBER(SEARCH("prison",B234)),"prison",
ISNUMBER(SEARCH("penet",B234)),"prison",
ISNUMBER(SEARCH("jail",B234)),"jail",
ISNUMBER(SEARCH("detention",B234)),"detention",
ISNUMBER(SEARCH("sheriff",B234)),"sheriff/police",
ISNUMBER(SEARCH("police",B234)),"sheriff/police",
TRUE,""
)</f>
        <v>jail</v>
      </c>
      <c r="H234">
        <f>INDEX(Sheet2!B:B,MATCH(C234,Sheet2!A:A,0),1)</f>
        <v>570</v>
      </c>
      <c r="I234">
        <f>3-COUNTBLANK(D234:F234)</f>
        <v>2</v>
      </c>
      <c r="J234">
        <f>IF(I234&gt;=2,H234,0)</f>
        <v>570</v>
      </c>
    </row>
    <row r="235" spans="1:10" x14ac:dyDescent="0.3">
      <c r="A235" t="s">
        <v>397</v>
      </c>
      <c r="B235" t="s">
        <v>21</v>
      </c>
      <c r="C235" t="s">
        <v>22</v>
      </c>
      <c r="D235" t="s">
        <v>14</v>
      </c>
      <c r="E235" t="s">
        <v>2425</v>
      </c>
      <c r="G235" t="str" cm="1">
        <f t="array" ref="G235">_xlfn.IFS(
ISNUMBER(SEARCH("hold",C235)),"hold",
ISNUMBER(SEARCH("youth",C235)),"youth",
ISNUMBER(SEARCH("juve",C235)),"youth",
OR(ISNUMBER(SEARCH("health",B235)),ISNUMBER(SEARCH("care ",B235)),ISNUMBER(SEARCH("psych",B235)),ISNUMBER(SEARCH("medical",B235)),ISNUMBER(SEARCH("hospital",B235))),"medical",
ISNUMBER(SEARCH("correct",B235)),"correctional",
ISNUMBER(SEARCH("process",B235)),"processing",
ISNUMBER(SEARCH("detention center",B235)),"detention",
ISNUMBER(SEARCH("detention fac",B235)),"detention",
ISNUMBER(SEARCH("staging",B235)),"staging",
ISNUMBER(SEARCH("prison",B235)),"prison",
ISNUMBER(SEARCH("penet",B235)),"prison",
ISNUMBER(SEARCH("jail",B235)),"jail",
ISNUMBER(SEARCH("detention",B235)),"detention",
ISNUMBER(SEARCH("sheriff",B235)),"sheriff/police",
ISNUMBER(SEARCH("police",B235)),"sheriff/police",
TRUE,""
)</f>
        <v>hold</v>
      </c>
      <c r="H235">
        <f>INDEX(Sheet2!B:B,MATCH(C235,Sheet2!A:A,0),1)</f>
        <v>565</v>
      </c>
      <c r="I235">
        <f>3-COUNTBLANK(D235:F235)</f>
        <v>2</v>
      </c>
      <c r="J235">
        <f>IF(I235&gt;=2,H235,0)</f>
        <v>565</v>
      </c>
    </row>
    <row r="236" spans="1:10" x14ac:dyDescent="0.3">
      <c r="A236" t="s">
        <v>400</v>
      </c>
      <c r="B236" t="s">
        <v>1679</v>
      </c>
      <c r="C236" t="s">
        <v>1680</v>
      </c>
      <c r="D236" t="s">
        <v>10</v>
      </c>
      <c r="F236" t="s">
        <v>2277</v>
      </c>
      <c r="G236" t="str" cm="1">
        <f t="array" ref="G236">_xlfn.IFS(
ISNUMBER(SEARCH("hold",C236)),"hold",
ISNUMBER(SEARCH("youth",C236)),"youth",
ISNUMBER(SEARCH("juve",C236)),"youth",
OR(ISNUMBER(SEARCH("health",B236)),ISNUMBER(SEARCH("care ",B236)),ISNUMBER(SEARCH("psych",B236)),ISNUMBER(SEARCH("medical",B236)),ISNUMBER(SEARCH("hospital",B236))),"medical",
ISNUMBER(SEARCH("correct",B236)),"correctional",
ISNUMBER(SEARCH("process",B236)),"processing",
ISNUMBER(SEARCH("detention center",B236)),"detention",
ISNUMBER(SEARCH("detention fac",B236)),"detention",
ISNUMBER(SEARCH("staging",B236)),"staging",
ISNUMBER(SEARCH("prison",B236)),"prison",
ISNUMBER(SEARCH("penet",B236)),"prison",
ISNUMBER(SEARCH("jail",B236)),"jail",
ISNUMBER(SEARCH("detention",B236)),"detention",
ISNUMBER(SEARCH("sheriff",B236)),"sheriff/police",
ISNUMBER(SEARCH("police",B236)),"sheriff/police",
TRUE,""
)</f>
        <v>correctional</v>
      </c>
      <c r="H236">
        <f>INDEX(Sheet2!B:B,MATCH(C236,Sheet2!A:A,0),1)</f>
        <v>563</v>
      </c>
      <c r="I236">
        <f>3-COUNTBLANK(D236:F236)</f>
        <v>2</v>
      </c>
      <c r="J236">
        <f>IF(I236&gt;=2,H236,0)</f>
        <v>563</v>
      </c>
    </row>
    <row r="237" spans="1:10" x14ac:dyDescent="0.3">
      <c r="A237" t="s">
        <v>403</v>
      </c>
      <c r="B237" t="s">
        <v>679</v>
      </c>
      <c r="C237" t="s">
        <v>680</v>
      </c>
      <c r="G237" t="str" cm="1">
        <f t="array" ref="G237">_xlfn.IFS(
ISNUMBER(SEARCH("hold",C237)),"hold",
ISNUMBER(SEARCH("youth",C237)),"youth",
ISNUMBER(SEARCH("juve",C237)),"youth",
OR(ISNUMBER(SEARCH("health",B237)),ISNUMBER(SEARCH("care ",B237)),ISNUMBER(SEARCH("psych",B237)),ISNUMBER(SEARCH("medical",B237)),ISNUMBER(SEARCH("hospital",B237))),"medical",
ISNUMBER(SEARCH("correct",B237)),"correctional",
ISNUMBER(SEARCH("process",B237)),"processing",
ISNUMBER(SEARCH("detention center",B237)),"detention",
ISNUMBER(SEARCH("detention fac",B237)),"detention",
ISNUMBER(SEARCH("staging",B237)),"staging",
ISNUMBER(SEARCH("prison",B237)),"prison",
ISNUMBER(SEARCH("penet",B237)),"prison",
ISNUMBER(SEARCH("jail",B237)),"jail",
ISNUMBER(SEARCH("detention",B237)),"detention",
ISNUMBER(SEARCH("sheriff",B237)),"sheriff/police",
ISNUMBER(SEARCH("police",B237)),"sheriff/police",
TRUE,""
)</f>
        <v>correctional</v>
      </c>
      <c r="H237">
        <f>INDEX(Sheet2!B:B,MATCH(C237,Sheet2!A:A,0),1)</f>
        <v>562</v>
      </c>
      <c r="I237">
        <f>3-COUNTBLANK(D237:F237)</f>
        <v>0</v>
      </c>
      <c r="J237">
        <f>IF(I237&gt;=2,H237,0)</f>
        <v>0</v>
      </c>
    </row>
    <row r="238" spans="1:10" x14ac:dyDescent="0.3">
      <c r="A238" t="s">
        <v>405</v>
      </c>
      <c r="B238" t="s">
        <v>1103</v>
      </c>
      <c r="C238" t="s">
        <v>1104</v>
      </c>
      <c r="G238" t="str" cm="1">
        <f t="array" ref="G238">_xlfn.IFS(
ISNUMBER(SEARCH("hold",C238)),"hold",
ISNUMBER(SEARCH("youth",C238)),"youth",
ISNUMBER(SEARCH("juve",C238)),"youth",
OR(ISNUMBER(SEARCH("health",B238)),ISNUMBER(SEARCH("care ",B238)),ISNUMBER(SEARCH("psych",B238)),ISNUMBER(SEARCH("medical",B238)),ISNUMBER(SEARCH("hospital",B238))),"medical",
ISNUMBER(SEARCH("correct",B238)),"correctional",
ISNUMBER(SEARCH("process",B238)),"processing",
ISNUMBER(SEARCH("detention center",B238)),"detention",
ISNUMBER(SEARCH("detention fac",B238)),"detention",
ISNUMBER(SEARCH("staging",B238)),"staging",
ISNUMBER(SEARCH("prison",B238)),"prison",
ISNUMBER(SEARCH("penet",B238)),"prison",
ISNUMBER(SEARCH("jail",B238)),"jail",
ISNUMBER(SEARCH("detention",B238)),"detention",
ISNUMBER(SEARCH("sheriff",B238)),"sheriff/police",
ISNUMBER(SEARCH("police",B238)),"sheriff/police",
TRUE,""
)</f>
        <v>hold</v>
      </c>
      <c r="H238">
        <f>INDEX(Sheet2!B:B,MATCH(C238,Sheet2!A:A,0),1)</f>
        <v>559</v>
      </c>
      <c r="I238">
        <f>3-COUNTBLANK(D238:F238)</f>
        <v>0</v>
      </c>
      <c r="J238">
        <f>IF(I238&gt;=2,H238,0)</f>
        <v>0</v>
      </c>
    </row>
    <row r="239" spans="1:10" x14ac:dyDescent="0.3">
      <c r="A239" t="s">
        <v>945</v>
      </c>
      <c r="B239" t="s">
        <v>12</v>
      </c>
      <c r="C239" t="s">
        <v>13</v>
      </c>
      <c r="D239" t="s">
        <v>14</v>
      </c>
      <c r="G239" t="str" cm="1">
        <f t="array" ref="G239">_xlfn.IFS(
ISNUMBER(SEARCH("hold",C239)),"hold",
ISNUMBER(SEARCH("youth",C239)),"youth",
ISNUMBER(SEARCH("juve",C239)),"youth",
OR(ISNUMBER(SEARCH("health",B239)),ISNUMBER(SEARCH("care ",B239)),ISNUMBER(SEARCH("psych",B239)),ISNUMBER(SEARCH("medical",B239)),ISNUMBER(SEARCH("hospital",B239))),"medical",
ISNUMBER(SEARCH("correct",B239)),"correctional",
ISNUMBER(SEARCH("process",B239)),"processing",
ISNUMBER(SEARCH("detention center",B239)),"detention",
ISNUMBER(SEARCH("detention fac",B239)),"detention",
ISNUMBER(SEARCH("staging",B239)),"staging",
ISNUMBER(SEARCH("prison",B239)),"prison",
ISNUMBER(SEARCH("penet",B239)),"prison",
ISNUMBER(SEARCH("jail",B239)),"jail",
ISNUMBER(SEARCH("detention",B239)),"detention",
ISNUMBER(SEARCH("sheriff",B239)),"sheriff/police",
ISNUMBER(SEARCH("police",B239)),"sheriff/police",
TRUE,""
)</f>
        <v>medical</v>
      </c>
      <c r="H239">
        <f>INDEX(Sheet2!B:B,MATCH(C239,Sheet2!A:A,0),1)</f>
        <v>59</v>
      </c>
      <c r="I239">
        <f>3-COUNTBLANK(D239:F239)</f>
        <v>1</v>
      </c>
      <c r="J239">
        <f>IF(I239&gt;=2,H239,0)</f>
        <v>0</v>
      </c>
    </row>
    <row r="240" spans="1:10" x14ac:dyDescent="0.3">
      <c r="A240" t="s">
        <v>408</v>
      </c>
      <c r="B240" t="s">
        <v>1718</v>
      </c>
      <c r="C240" t="s">
        <v>1719</v>
      </c>
      <c r="D240" t="s">
        <v>10</v>
      </c>
      <c r="E240" t="s">
        <v>2419</v>
      </c>
      <c r="G240" t="str" cm="1">
        <f t="array" ref="G240">_xlfn.IFS(
ISNUMBER(SEARCH("hold",C240)),"hold",
ISNUMBER(SEARCH("youth",C240)),"youth",
ISNUMBER(SEARCH("juve",C240)),"youth",
OR(ISNUMBER(SEARCH("health",B240)),ISNUMBER(SEARCH("care ",B240)),ISNUMBER(SEARCH("psych",B240)),ISNUMBER(SEARCH("medical",B240)),ISNUMBER(SEARCH("hospital",B240))),"medical",
ISNUMBER(SEARCH("correct",B240)),"correctional",
ISNUMBER(SEARCH("process",B240)),"processing",
ISNUMBER(SEARCH("detention center",B240)),"detention",
ISNUMBER(SEARCH("detention fac",B240)),"detention",
ISNUMBER(SEARCH("staging",B240)),"staging",
ISNUMBER(SEARCH("prison",B240)),"prison",
ISNUMBER(SEARCH("penet",B240)),"prison",
ISNUMBER(SEARCH("jail",B240)),"jail",
ISNUMBER(SEARCH("detention",B240)),"detention",
ISNUMBER(SEARCH("sheriff",B240)),"sheriff/police",
ISNUMBER(SEARCH("police",B240)),"sheriff/police",
TRUE,""
)</f>
        <v>hold</v>
      </c>
      <c r="H240">
        <f>INDEX(Sheet2!B:B,MATCH(C240,Sheet2!A:A,0),1)</f>
        <v>552</v>
      </c>
      <c r="I240">
        <f>3-COUNTBLANK(D240:F240)</f>
        <v>2</v>
      </c>
      <c r="J240">
        <f>IF(I240&gt;=2,H240,0)</f>
        <v>552</v>
      </c>
    </row>
    <row r="241" spans="1:10" x14ac:dyDescent="0.3">
      <c r="A241" t="s">
        <v>411</v>
      </c>
      <c r="B241" t="s">
        <v>1565</v>
      </c>
      <c r="C241" t="s">
        <v>1566</v>
      </c>
      <c r="G241" t="str" cm="1">
        <f t="array" ref="G241">_xlfn.IFS(
ISNUMBER(SEARCH("hold",C241)),"hold",
ISNUMBER(SEARCH("youth",C241)),"youth",
ISNUMBER(SEARCH("juve",C241)),"youth",
OR(ISNUMBER(SEARCH("health",B241)),ISNUMBER(SEARCH("care ",B241)),ISNUMBER(SEARCH("psych",B241)),ISNUMBER(SEARCH("medical",B241)),ISNUMBER(SEARCH("hospital",B241))),"medical",
ISNUMBER(SEARCH("correct",B241)),"correctional",
ISNUMBER(SEARCH("process",B241)),"processing",
ISNUMBER(SEARCH("detention center",B241)),"detention",
ISNUMBER(SEARCH("detention fac",B241)),"detention",
ISNUMBER(SEARCH("staging",B241)),"staging",
ISNUMBER(SEARCH("prison",B241)),"prison",
ISNUMBER(SEARCH("penet",B241)),"prison",
ISNUMBER(SEARCH("jail",B241)),"jail",
ISNUMBER(SEARCH("detention",B241)),"detention",
ISNUMBER(SEARCH("sheriff",B241)),"sheriff/police",
ISNUMBER(SEARCH("police",B241)),"sheriff/police",
TRUE,""
)</f>
        <v>hold</v>
      </c>
      <c r="H241">
        <f>INDEX(Sheet2!B:B,MATCH(C241,Sheet2!A:A,0),1)</f>
        <v>552</v>
      </c>
      <c r="I241">
        <f>3-COUNTBLANK(D241:F241)</f>
        <v>0</v>
      </c>
      <c r="J241">
        <f>IF(I241&gt;=2,H241,0)</f>
        <v>0</v>
      </c>
    </row>
    <row r="242" spans="1:10" x14ac:dyDescent="0.3">
      <c r="A242" t="s">
        <v>1948</v>
      </c>
      <c r="B242" t="s">
        <v>395</v>
      </c>
      <c r="C242" t="s">
        <v>396</v>
      </c>
      <c r="D242" t="s">
        <v>14</v>
      </c>
      <c r="E242" t="s">
        <v>2471</v>
      </c>
      <c r="G242" t="str" cm="1">
        <f t="array" ref="G242">_xlfn.IFS(
ISNUMBER(SEARCH("hold",C242)),"hold",
ISNUMBER(SEARCH("youth",C242)),"youth",
ISNUMBER(SEARCH("juve",C242)),"youth",
OR(ISNUMBER(SEARCH("health",B242)),ISNUMBER(SEARCH("care ",B242)),ISNUMBER(SEARCH("psych",B242)),ISNUMBER(SEARCH("medical",B242)),ISNUMBER(SEARCH("hospital",B242))),"medical",
ISNUMBER(SEARCH("correct",B242)),"correctional",
ISNUMBER(SEARCH("process",B242)),"processing",
ISNUMBER(SEARCH("detention center",B242)),"detention",
ISNUMBER(SEARCH("detention fac",B242)),"detention",
ISNUMBER(SEARCH("staging",B242)),"staging",
ISNUMBER(SEARCH("prison",B242)),"prison",
ISNUMBER(SEARCH("penet",B242)),"prison",
ISNUMBER(SEARCH("jail",B242)),"jail",
ISNUMBER(SEARCH("detention",B242)),"detention",
ISNUMBER(SEARCH("sheriff",B242)),"sheriff/police",
ISNUMBER(SEARCH("police",B242)),"sheriff/police",
TRUE,""
)</f>
        <v>hold</v>
      </c>
      <c r="H242">
        <f>INDEX(Sheet2!B:B,MATCH(C242,Sheet2!A:A,0),1)</f>
        <v>547</v>
      </c>
      <c r="I242">
        <f>3-COUNTBLANK(D242:F242)</f>
        <v>2</v>
      </c>
      <c r="J242">
        <f>IF(I242&gt;=2,H242,0)</f>
        <v>547</v>
      </c>
    </row>
    <row r="243" spans="1:10" x14ac:dyDescent="0.3">
      <c r="A243" t="s">
        <v>1950</v>
      </c>
      <c r="B243" t="s">
        <v>1581</v>
      </c>
      <c r="C243" t="s">
        <v>1582</v>
      </c>
      <c r="D243" t="s">
        <v>23</v>
      </c>
      <c r="E243" t="s">
        <v>2258</v>
      </c>
      <c r="G243" t="str" cm="1">
        <f t="array" ref="G243">_xlfn.IFS(
ISNUMBER(SEARCH("hold",C243)),"hold",
ISNUMBER(SEARCH("youth",C243)),"youth",
ISNUMBER(SEARCH("juve",C243)),"youth",
OR(ISNUMBER(SEARCH("health",B243)),ISNUMBER(SEARCH("care ",B243)),ISNUMBER(SEARCH("psych",B243)),ISNUMBER(SEARCH("medical",B243)),ISNUMBER(SEARCH("hospital",B243))),"medical",
ISNUMBER(SEARCH("correct",B243)),"correctional",
ISNUMBER(SEARCH("process",B243)),"processing",
ISNUMBER(SEARCH("detention center",B243)),"detention",
ISNUMBER(SEARCH("detention fac",B243)),"detention",
ISNUMBER(SEARCH("staging",B243)),"staging",
ISNUMBER(SEARCH("prison",B243)),"prison",
ISNUMBER(SEARCH("penet",B243)),"prison",
ISNUMBER(SEARCH("jail",B243)),"jail",
ISNUMBER(SEARCH("detention",B243)),"detention",
ISNUMBER(SEARCH("sheriff",B243)),"sheriff/police",
ISNUMBER(SEARCH("police",B243)),"sheriff/police",
TRUE,""
)</f>
        <v>hold</v>
      </c>
      <c r="H243">
        <f>INDEX(Sheet2!B:B,MATCH(C243,Sheet2!A:A,0),1)</f>
        <v>544</v>
      </c>
      <c r="I243">
        <f>3-COUNTBLANK(D243:F243)</f>
        <v>2</v>
      </c>
      <c r="J243">
        <f>IF(I243&gt;=2,H243,0)</f>
        <v>544</v>
      </c>
    </row>
    <row r="244" spans="1:10" x14ac:dyDescent="0.3">
      <c r="A244" t="s">
        <v>414</v>
      </c>
      <c r="B244" t="s">
        <v>321</v>
      </c>
      <c r="C244" t="s">
        <v>322</v>
      </c>
      <c r="D244" t="s">
        <v>108</v>
      </c>
      <c r="E244" t="s">
        <v>319</v>
      </c>
      <c r="G244" t="str" cm="1">
        <f t="array" ref="G244">_xlfn.IFS(
ISNUMBER(SEARCH("hold",C244)),"hold",
ISNUMBER(SEARCH("youth",C244)),"youth",
ISNUMBER(SEARCH("juve",C244)),"youth",
OR(ISNUMBER(SEARCH("health",B244)),ISNUMBER(SEARCH("care ",B244)),ISNUMBER(SEARCH("psych",B244)),ISNUMBER(SEARCH("medical",B244)),ISNUMBER(SEARCH("hospital",B244))),"medical",
ISNUMBER(SEARCH("correct",B244)),"correctional",
ISNUMBER(SEARCH("process",B244)),"processing",
ISNUMBER(SEARCH("detention center",B244)),"detention",
ISNUMBER(SEARCH("detention fac",B244)),"detention",
ISNUMBER(SEARCH("staging",B244)),"staging",
ISNUMBER(SEARCH("prison",B244)),"prison",
ISNUMBER(SEARCH("penet",B244)),"prison",
ISNUMBER(SEARCH("jail",B244)),"jail",
ISNUMBER(SEARCH("detention",B244)),"detention",
ISNUMBER(SEARCH("sheriff",B244)),"sheriff/police",
ISNUMBER(SEARCH("police",B244)),"sheriff/police",
TRUE,""
)</f>
        <v>hold</v>
      </c>
      <c r="H244">
        <f>INDEX(Sheet2!B:B,MATCH(C244,Sheet2!A:A,0),1)</f>
        <v>529</v>
      </c>
      <c r="I244">
        <f>3-COUNTBLANK(D244:F244)</f>
        <v>2</v>
      </c>
      <c r="J244">
        <f>IF(I244&gt;=2,H244,0)</f>
        <v>529</v>
      </c>
    </row>
    <row r="245" spans="1:10" x14ac:dyDescent="0.3">
      <c r="A245" t="s">
        <v>417</v>
      </c>
      <c r="B245" t="s">
        <v>511</v>
      </c>
      <c r="C245" t="s">
        <v>512</v>
      </c>
      <c r="G245" t="str" cm="1">
        <f t="array" ref="G245">_xlfn.IFS(
ISNUMBER(SEARCH("hold",C245)),"hold",
ISNUMBER(SEARCH("youth",C245)),"youth",
ISNUMBER(SEARCH("juve",C245)),"youth",
OR(ISNUMBER(SEARCH("health",B245)),ISNUMBER(SEARCH("care ",B245)),ISNUMBER(SEARCH("psych",B245)),ISNUMBER(SEARCH("medical",B245)),ISNUMBER(SEARCH("hospital",B245))),"medical",
ISNUMBER(SEARCH("correct",B245)),"correctional",
ISNUMBER(SEARCH("process",B245)),"processing",
ISNUMBER(SEARCH("detention center",B245)),"detention",
ISNUMBER(SEARCH("detention fac",B245)),"detention",
ISNUMBER(SEARCH("staging",B245)),"staging",
ISNUMBER(SEARCH("prison",B245)),"prison",
ISNUMBER(SEARCH("penet",B245)),"prison",
ISNUMBER(SEARCH("jail",B245)),"jail",
ISNUMBER(SEARCH("detention",B245)),"detention",
ISNUMBER(SEARCH("sheriff",B245)),"sheriff/police",
ISNUMBER(SEARCH("police",B245)),"sheriff/police",
TRUE,""
)</f>
        <v>hold</v>
      </c>
      <c r="H245">
        <f>INDEX(Sheet2!B:B,MATCH(C245,Sheet2!A:A,0),1)</f>
        <v>527</v>
      </c>
      <c r="I245">
        <f>3-COUNTBLANK(D245:F245)</f>
        <v>0</v>
      </c>
      <c r="J245">
        <f>IF(I245&gt;=2,H245,0)</f>
        <v>0</v>
      </c>
    </row>
    <row r="246" spans="1:10" x14ac:dyDescent="0.3">
      <c r="A246" t="s">
        <v>420</v>
      </c>
      <c r="B246" t="s">
        <v>1058</v>
      </c>
      <c r="C246" t="s">
        <v>1059</v>
      </c>
      <c r="D246" t="s">
        <v>238</v>
      </c>
      <c r="F246" t="s">
        <v>2350</v>
      </c>
      <c r="G246" t="str" cm="1">
        <f t="array" ref="G246">_xlfn.IFS(
ISNUMBER(SEARCH("hold",C246)),"hold",
ISNUMBER(SEARCH("youth",C246)),"youth",
ISNUMBER(SEARCH("juve",C246)),"youth",
OR(ISNUMBER(SEARCH("health",B246)),ISNUMBER(SEARCH("care ",B246)),ISNUMBER(SEARCH("psych",B246)),ISNUMBER(SEARCH("medical",B246)),ISNUMBER(SEARCH("hospital",B246))),"medical",
ISNUMBER(SEARCH("correct",B246)),"correctional",
ISNUMBER(SEARCH("process",B246)),"processing",
ISNUMBER(SEARCH("detention center",B246)),"detention",
ISNUMBER(SEARCH("detention fac",B246)),"detention",
ISNUMBER(SEARCH("staging",B246)),"staging",
ISNUMBER(SEARCH("prison",B246)),"prison",
ISNUMBER(SEARCH("penet",B246)),"prison",
ISNUMBER(SEARCH("jail",B246)),"jail",
ISNUMBER(SEARCH("detention",B246)),"detention",
ISNUMBER(SEARCH("sheriff",B246)),"sheriff/police",
ISNUMBER(SEARCH("police",B246)),"sheriff/police",
TRUE,""
)</f>
        <v>jail</v>
      </c>
      <c r="H246">
        <f>INDEX(Sheet2!B:B,MATCH(C246,Sheet2!A:A,0),1)</f>
        <v>523</v>
      </c>
      <c r="I246">
        <f>3-COUNTBLANK(D246:F246)</f>
        <v>2</v>
      </c>
      <c r="J246">
        <f>IF(I246&gt;=2,H246,0)</f>
        <v>523</v>
      </c>
    </row>
    <row r="247" spans="1:10" x14ac:dyDescent="0.3">
      <c r="A247" t="s">
        <v>1890</v>
      </c>
      <c r="B247" t="s">
        <v>4</v>
      </c>
      <c r="C247" t="s">
        <v>5</v>
      </c>
      <c r="D247" t="s">
        <v>6</v>
      </c>
      <c r="F247" t="s">
        <v>2426</v>
      </c>
      <c r="G247" t="str" cm="1">
        <f t="array" ref="G247">_xlfn.IFS(
ISNUMBER(SEARCH("hold",C247)),"hold",
ISNUMBER(SEARCH("youth",C247)),"youth",
ISNUMBER(SEARCH("juve",C247)),"youth",
OR(ISNUMBER(SEARCH("health",B247)),ISNUMBER(SEARCH("care ",B247)),ISNUMBER(SEARCH("psych",B247)),ISNUMBER(SEARCH("medical",B247)),ISNUMBER(SEARCH("hospital",B247))),"medical",
ISNUMBER(SEARCH("correct",B247)),"correctional",
ISNUMBER(SEARCH("process",B247)),"processing",
ISNUMBER(SEARCH("detention center",B247)),"detention",
ISNUMBER(SEARCH("detention fac",B247)),"detention",
ISNUMBER(SEARCH("staging",B247)),"staging",
ISNUMBER(SEARCH("prison",B247)),"prison",
ISNUMBER(SEARCH("penet",B247)),"prison",
ISNUMBER(SEARCH("jail",B247)),"jail",
ISNUMBER(SEARCH("detention",B247)),"detention",
ISNUMBER(SEARCH("sheriff",B247)),"sheriff/police",
ISNUMBER(SEARCH("police",B247)),"sheriff/police",
TRUE,""
)</f>
        <v>sheriff/police</v>
      </c>
      <c r="H247">
        <f>INDEX(Sheet2!B:B,MATCH(C247,Sheet2!A:A,0),1)</f>
        <v>3238</v>
      </c>
      <c r="I247">
        <f>3-COUNTBLANK(D247:F247)</f>
        <v>2</v>
      </c>
      <c r="J247">
        <f>IF(I247&gt;=2,H247,0)</f>
        <v>3238</v>
      </c>
    </row>
    <row r="248" spans="1:10" x14ac:dyDescent="0.3">
      <c r="A248" t="s">
        <v>427</v>
      </c>
      <c r="B248" t="s">
        <v>1171</v>
      </c>
      <c r="C248" t="s">
        <v>1172</v>
      </c>
      <c r="G248" t="str" cm="1">
        <f t="array" ref="G248">_xlfn.IFS(
ISNUMBER(SEARCH("hold",C248)),"hold",
ISNUMBER(SEARCH("youth",C248)),"youth",
ISNUMBER(SEARCH("juve",C248)),"youth",
OR(ISNUMBER(SEARCH("health",B248)),ISNUMBER(SEARCH("care ",B248)),ISNUMBER(SEARCH("psych",B248)),ISNUMBER(SEARCH("medical",B248)),ISNUMBER(SEARCH("hospital",B248))),"medical",
ISNUMBER(SEARCH("correct",B248)),"correctional",
ISNUMBER(SEARCH("process",B248)),"processing",
ISNUMBER(SEARCH("detention center",B248)),"detention",
ISNUMBER(SEARCH("detention fac",B248)),"detention",
ISNUMBER(SEARCH("staging",B248)),"staging",
ISNUMBER(SEARCH("prison",B248)),"prison",
ISNUMBER(SEARCH("penet",B248)),"prison",
ISNUMBER(SEARCH("jail",B248)),"jail",
ISNUMBER(SEARCH("detention",B248)),"detention",
ISNUMBER(SEARCH("sheriff",B248)),"sheriff/police",
ISNUMBER(SEARCH("police",B248)),"sheriff/police",
TRUE,""
)</f>
        <v>hold</v>
      </c>
      <c r="H248">
        <f>INDEX(Sheet2!B:B,MATCH(C248,Sheet2!A:A,0),1)</f>
        <v>519</v>
      </c>
      <c r="I248">
        <f>3-COUNTBLANK(D248:F248)</f>
        <v>0</v>
      </c>
      <c r="J248">
        <f>IF(I248&gt;=2,H248,0)</f>
        <v>0</v>
      </c>
    </row>
    <row r="249" spans="1:10" x14ac:dyDescent="0.3">
      <c r="A249" t="s">
        <v>430</v>
      </c>
      <c r="B249" t="s">
        <v>676</v>
      </c>
      <c r="C249" t="s">
        <v>677</v>
      </c>
      <c r="D249" t="s">
        <v>174</v>
      </c>
      <c r="F249" t="s">
        <v>2275</v>
      </c>
      <c r="G249" t="str" cm="1">
        <f t="array" ref="G249">_xlfn.IFS(
ISNUMBER(SEARCH("hold",C249)),"hold",
ISNUMBER(SEARCH("youth",C249)),"youth",
ISNUMBER(SEARCH("juve",C249)),"youth",
OR(ISNUMBER(SEARCH("health",B249)),ISNUMBER(SEARCH("care ",B249)),ISNUMBER(SEARCH("psych",B249)),ISNUMBER(SEARCH("medical",B249)),ISNUMBER(SEARCH("hospital",B249))),"medical",
ISNUMBER(SEARCH("correct",B249)),"correctional",
ISNUMBER(SEARCH("process",B249)),"processing",
ISNUMBER(SEARCH("detention center",B249)),"detention",
ISNUMBER(SEARCH("detention fac",B249)),"detention",
ISNUMBER(SEARCH("staging",B249)),"staging",
ISNUMBER(SEARCH("prison",B249)),"prison",
ISNUMBER(SEARCH("penet",B249)),"prison",
ISNUMBER(SEARCH("jail",B249)),"jail",
ISNUMBER(SEARCH("detention",B249)),"detention",
ISNUMBER(SEARCH("sheriff",B249)),"sheriff/police",
ISNUMBER(SEARCH("police",B249)),"sheriff/police",
TRUE,""
)</f>
        <v>jail</v>
      </c>
      <c r="H249">
        <f>INDEX(Sheet2!B:B,MATCH(C249,Sheet2!A:A,0),1)</f>
        <v>499</v>
      </c>
      <c r="I249">
        <f>3-COUNTBLANK(D249:F249)</f>
        <v>2</v>
      </c>
      <c r="J249">
        <f>IF(I249&gt;=2,H249,0)</f>
        <v>499</v>
      </c>
    </row>
    <row r="250" spans="1:10" x14ac:dyDescent="0.3">
      <c r="A250" t="s">
        <v>433</v>
      </c>
      <c r="B250" t="s">
        <v>66</v>
      </c>
      <c r="C250" t="s">
        <v>67</v>
      </c>
      <c r="D250" t="s">
        <v>68</v>
      </c>
      <c r="F250" t="s">
        <v>2300</v>
      </c>
      <c r="G250" t="str" cm="1">
        <f t="array" ref="G250">_xlfn.IFS(
ISNUMBER(SEARCH("hold",C250)),"hold",
ISNUMBER(SEARCH("youth",C250)),"youth",
ISNUMBER(SEARCH("juve",C250)),"youth",
OR(ISNUMBER(SEARCH("health",B250)),ISNUMBER(SEARCH("care ",B250)),ISNUMBER(SEARCH("psych",B250)),ISNUMBER(SEARCH("medical",B250)),ISNUMBER(SEARCH("hospital",B250))),"medical",
ISNUMBER(SEARCH("correct",B250)),"correctional",
ISNUMBER(SEARCH("process",B250)),"processing",
ISNUMBER(SEARCH("detention center",B250)),"detention",
ISNUMBER(SEARCH("detention fac",B250)),"detention",
ISNUMBER(SEARCH("staging",B250)),"staging",
ISNUMBER(SEARCH("prison",B250)),"prison",
ISNUMBER(SEARCH("penet",B250)),"prison",
ISNUMBER(SEARCH("jail",B250)),"jail",
ISNUMBER(SEARCH("detention",B250)),"detention",
ISNUMBER(SEARCH("sheriff",B250)),"sheriff/police",
ISNUMBER(SEARCH("police",B250)),"sheriff/police",
TRUE,""
)</f>
        <v>jail</v>
      </c>
      <c r="H250">
        <f>INDEX(Sheet2!B:B,MATCH(C250,Sheet2!A:A,0),1)</f>
        <v>498</v>
      </c>
      <c r="I250">
        <f>3-COUNTBLANK(D250:F250)</f>
        <v>2</v>
      </c>
      <c r="J250">
        <f>IF(I250&gt;=2,H250,0)</f>
        <v>498</v>
      </c>
    </row>
    <row r="251" spans="1:10" x14ac:dyDescent="0.3">
      <c r="A251" t="s">
        <v>436</v>
      </c>
      <c r="B251" t="s">
        <v>906</v>
      </c>
      <c r="C251" t="s">
        <v>907</v>
      </c>
      <c r="G251" t="str" cm="1">
        <f t="array" ref="G251">_xlfn.IFS(
ISNUMBER(SEARCH("hold",C251)),"hold",
ISNUMBER(SEARCH("youth",C251)),"youth",
ISNUMBER(SEARCH("juve",C251)),"youth",
OR(ISNUMBER(SEARCH("health",B251)),ISNUMBER(SEARCH("care ",B251)),ISNUMBER(SEARCH("psych",B251)),ISNUMBER(SEARCH("medical",B251)),ISNUMBER(SEARCH("hospital",B251))),"medical",
ISNUMBER(SEARCH("correct",B251)),"correctional",
ISNUMBER(SEARCH("process",B251)),"processing",
ISNUMBER(SEARCH("detention center",B251)),"detention",
ISNUMBER(SEARCH("detention fac",B251)),"detention",
ISNUMBER(SEARCH("staging",B251)),"staging",
ISNUMBER(SEARCH("prison",B251)),"prison",
ISNUMBER(SEARCH("penet",B251)),"prison",
ISNUMBER(SEARCH("jail",B251)),"jail",
ISNUMBER(SEARCH("detention",B251)),"detention",
ISNUMBER(SEARCH("sheriff",B251)),"sheriff/police",
ISNUMBER(SEARCH("police",B251)),"sheriff/police",
TRUE,""
)</f>
        <v>hold</v>
      </c>
      <c r="H251">
        <f>INDEX(Sheet2!B:B,MATCH(C251,Sheet2!A:A,0),1)</f>
        <v>492</v>
      </c>
      <c r="I251">
        <f>3-COUNTBLANK(D251:F251)</f>
        <v>0</v>
      </c>
      <c r="J251">
        <f>IF(I251&gt;=2,H251,0)</f>
        <v>0</v>
      </c>
    </row>
    <row r="252" spans="1:10" x14ac:dyDescent="0.3">
      <c r="A252" t="s">
        <v>439</v>
      </c>
      <c r="B252" t="s">
        <v>273</v>
      </c>
      <c r="C252" t="s">
        <v>274</v>
      </c>
      <c r="D252" t="s">
        <v>23</v>
      </c>
      <c r="E252" t="s">
        <v>275</v>
      </c>
      <c r="G252" t="str" cm="1">
        <f t="array" ref="G252">_xlfn.IFS(
ISNUMBER(SEARCH("hold",C252)),"hold",
ISNUMBER(SEARCH("youth",C252)),"youth",
ISNUMBER(SEARCH("juve",C252)),"youth",
OR(ISNUMBER(SEARCH("health",B252)),ISNUMBER(SEARCH("care ",B252)),ISNUMBER(SEARCH("psych",B252)),ISNUMBER(SEARCH("medical",B252)),ISNUMBER(SEARCH("hospital",B252))),"medical",
ISNUMBER(SEARCH("correct",B252)),"correctional",
ISNUMBER(SEARCH("process",B252)),"processing",
ISNUMBER(SEARCH("detention center",B252)),"detention",
ISNUMBER(SEARCH("detention fac",B252)),"detention",
ISNUMBER(SEARCH("staging",B252)),"staging",
ISNUMBER(SEARCH("prison",B252)),"prison",
ISNUMBER(SEARCH("penet",B252)),"prison",
ISNUMBER(SEARCH("jail",B252)),"jail",
ISNUMBER(SEARCH("detention",B252)),"detention",
ISNUMBER(SEARCH("sheriff",B252)),"sheriff/police",
ISNUMBER(SEARCH("police",B252)),"sheriff/police",
TRUE,""
)</f>
        <v>medical</v>
      </c>
      <c r="H252">
        <f>INDEX(Sheet2!B:B,MATCH(C252,Sheet2!A:A,0),1)</f>
        <v>474</v>
      </c>
      <c r="I252">
        <f>3-COUNTBLANK(D252:F252)</f>
        <v>2</v>
      </c>
      <c r="J252">
        <f>IF(I252&gt;=2,H252,0)</f>
        <v>474</v>
      </c>
    </row>
    <row r="253" spans="1:10" x14ac:dyDescent="0.3">
      <c r="A253" t="s">
        <v>443</v>
      </c>
      <c r="B253" t="s">
        <v>490</v>
      </c>
      <c r="C253" t="s">
        <v>491</v>
      </c>
      <c r="D253" t="s">
        <v>82</v>
      </c>
      <c r="F253" t="s">
        <v>2297</v>
      </c>
      <c r="G253" t="str" cm="1">
        <f t="array" ref="G253">_xlfn.IFS(
ISNUMBER(SEARCH("hold",C253)),"hold",
ISNUMBER(SEARCH("youth",C253)),"youth",
ISNUMBER(SEARCH("juve",C253)),"youth",
OR(ISNUMBER(SEARCH("health",B253)),ISNUMBER(SEARCH("care ",B253)),ISNUMBER(SEARCH("psych",B253)),ISNUMBER(SEARCH("medical",B253)),ISNUMBER(SEARCH("hospital",B253))),"medical",
ISNUMBER(SEARCH("correct",B253)),"correctional",
ISNUMBER(SEARCH("process",B253)),"processing",
ISNUMBER(SEARCH("detention center",B253)),"detention",
ISNUMBER(SEARCH("detention fac",B253)),"detention",
ISNUMBER(SEARCH("staging",B253)),"staging",
ISNUMBER(SEARCH("prison",B253)),"prison",
ISNUMBER(SEARCH("penet",B253)),"prison",
ISNUMBER(SEARCH("jail",B253)),"jail",
ISNUMBER(SEARCH("detention",B253)),"detention",
ISNUMBER(SEARCH("sheriff",B253)),"sheriff/police",
ISNUMBER(SEARCH("police",B253)),"sheriff/police",
TRUE,""
)</f>
        <v>jail</v>
      </c>
      <c r="H253">
        <f>INDEX(Sheet2!B:B,MATCH(C253,Sheet2!A:A,0),1)</f>
        <v>469</v>
      </c>
      <c r="I253">
        <f>3-COUNTBLANK(D253:F253)</f>
        <v>2</v>
      </c>
      <c r="J253">
        <f>IF(I253&gt;=2,H253,0)</f>
        <v>469</v>
      </c>
    </row>
    <row r="254" spans="1:10" x14ac:dyDescent="0.3">
      <c r="A254" t="s">
        <v>446</v>
      </c>
      <c r="B254" t="s">
        <v>821</v>
      </c>
      <c r="C254" t="s">
        <v>822</v>
      </c>
      <c r="D254" t="s">
        <v>27</v>
      </c>
      <c r="F254" t="s">
        <v>2334</v>
      </c>
      <c r="G254" t="str" cm="1">
        <f t="array" ref="G254">_xlfn.IFS(
ISNUMBER(SEARCH("hold",C254)),"hold",
ISNUMBER(SEARCH("youth",C254)),"youth",
ISNUMBER(SEARCH("juve",C254)),"youth",
OR(ISNUMBER(SEARCH("health",B254)),ISNUMBER(SEARCH("care ",B254)),ISNUMBER(SEARCH("psych",B254)),ISNUMBER(SEARCH("medical",B254)),ISNUMBER(SEARCH("hospital",B254))),"medical",
ISNUMBER(SEARCH("correct",B254)),"correctional",
ISNUMBER(SEARCH("process",B254)),"processing",
ISNUMBER(SEARCH("detention center",B254)),"detention",
ISNUMBER(SEARCH("detention fac",B254)),"detention",
ISNUMBER(SEARCH("staging",B254)),"staging",
ISNUMBER(SEARCH("prison",B254)),"prison",
ISNUMBER(SEARCH("penet",B254)),"prison",
ISNUMBER(SEARCH("jail",B254)),"jail",
ISNUMBER(SEARCH("detention",B254)),"detention",
ISNUMBER(SEARCH("sheriff",B254)),"sheriff/police",
ISNUMBER(SEARCH("police",B254)),"sheriff/police",
TRUE,""
)</f>
        <v>jail</v>
      </c>
      <c r="H254">
        <f>INDEX(Sheet2!B:B,MATCH(C254,Sheet2!A:A,0),1)</f>
        <v>468</v>
      </c>
      <c r="I254">
        <f>3-COUNTBLANK(D254:F254)</f>
        <v>2</v>
      </c>
      <c r="J254">
        <f>IF(I254&gt;=2,H254,0)</f>
        <v>468</v>
      </c>
    </row>
    <row r="255" spans="1:10" x14ac:dyDescent="0.3">
      <c r="A255" t="s">
        <v>449</v>
      </c>
      <c r="B255" t="s">
        <v>218</v>
      </c>
      <c r="C255" t="s">
        <v>219</v>
      </c>
      <c r="D255" t="s">
        <v>129</v>
      </c>
      <c r="E255" t="s">
        <v>2537</v>
      </c>
      <c r="G255" t="str" cm="1">
        <f t="array" ref="G255">_xlfn.IFS(
ISNUMBER(SEARCH("hold",C255)),"hold",
ISNUMBER(SEARCH("youth",C255)),"youth",
ISNUMBER(SEARCH("juve",C255)),"youth",
OR(ISNUMBER(SEARCH("health",B255)),ISNUMBER(SEARCH("care ",B255)),ISNUMBER(SEARCH("psych",B255)),ISNUMBER(SEARCH("medical",B255)),ISNUMBER(SEARCH("hospital",B255))),"medical",
ISNUMBER(SEARCH("correct",B255)),"correctional",
ISNUMBER(SEARCH("process",B255)),"processing",
ISNUMBER(SEARCH("detention center",B255)),"detention",
ISNUMBER(SEARCH("detention fac",B255)),"detention",
ISNUMBER(SEARCH("staging",B255)),"staging",
ISNUMBER(SEARCH("prison",B255)),"prison",
ISNUMBER(SEARCH("penet",B255)),"prison",
ISNUMBER(SEARCH("jail",B255)),"jail",
ISNUMBER(SEARCH("detention",B255)),"detention",
ISNUMBER(SEARCH("sheriff",B255)),"sheriff/police",
ISNUMBER(SEARCH("police",B255)),"sheriff/police",
TRUE,""
)</f>
        <v>hold</v>
      </c>
      <c r="H255">
        <f>INDEX(Sheet2!B:B,MATCH(C255,Sheet2!A:A,0),1)</f>
        <v>466</v>
      </c>
      <c r="I255">
        <f>3-COUNTBLANK(D255:F255)</f>
        <v>2</v>
      </c>
      <c r="J255">
        <f>IF(I255&gt;=2,H255,0)</f>
        <v>466</v>
      </c>
    </row>
    <row r="256" spans="1:10" x14ac:dyDescent="0.3">
      <c r="A256" t="s">
        <v>453</v>
      </c>
      <c r="B256" t="s">
        <v>1607</v>
      </c>
      <c r="C256" t="s">
        <v>1608</v>
      </c>
      <c r="D256" t="s">
        <v>42</v>
      </c>
      <c r="E256" t="s">
        <v>2249</v>
      </c>
      <c r="G256" t="str" cm="1">
        <f t="array" ref="G256">_xlfn.IFS(
ISNUMBER(SEARCH("hold",C256)),"hold",
ISNUMBER(SEARCH("youth",C256)),"youth",
ISNUMBER(SEARCH("juve",C256)),"youth",
OR(ISNUMBER(SEARCH("health",B256)),ISNUMBER(SEARCH("care ",B256)),ISNUMBER(SEARCH("psych",B256)),ISNUMBER(SEARCH("medical",B256)),ISNUMBER(SEARCH("hospital",B256))),"medical",
ISNUMBER(SEARCH("correct",B256)),"correctional",
ISNUMBER(SEARCH("process",B256)),"processing",
ISNUMBER(SEARCH("detention center",B256)),"detention",
ISNUMBER(SEARCH("detention fac",B256)),"detention",
ISNUMBER(SEARCH("staging",B256)),"staging",
ISNUMBER(SEARCH("prison",B256)),"prison",
ISNUMBER(SEARCH("penet",B256)),"prison",
ISNUMBER(SEARCH("jail",B256)),"jail",
ISNUMBER(SEARCH("detention",B256)),"detention",
ISNUMBER(SEARCH("sheriff",B256)),"sheriff/police",
ISNUMBER(SEARCH("police",B256)),"sheriff/police",
TRUE,""
)</f>
        <v>hold</v>
      </c>
      <c r="H256">
        <f>INDEX(Sheet2!B:B,MATCH(C256,Sheet2!A:A,0),1)</f>
        <v>465</v>
      </c>
      <c r="I256">
        <f>3-COUNTBLANK(D256:F256)</f>
        <v>2</v>
      </c>
      <c r="J256">
        <f>IF(I256&gt;=2,H256,0)</f>
        <v>465</v>
      </c>
    </row>
    <row r="257" spans="1:10" x14ac:dyDescent="0.3">
      <c r="A257" t="s">
        <v>456</v>
      </c>
      <c r="B257" t="s">
        <v>931</v>
      </c>
      <c r="C257" t="s">
        <v>932</v>
      </c>
      <c r="D257" t="s">
        <v>231</v>
      </c>
      <c r="E257" s="3" t="s">
        <v>2536</v>
      </c>
      <c r="G257" t="str" cm="1">
        <f t="array" ref="G257">_xlfn.IFS(
ISNUMBER(SEARCH("hold",C257)),"hold",
ISNUMBER(SEARCH("youth",C257)),"youth",
ISNUMBER(SEARCH("juve",C257)),"youth",
OR(ISNUMBER(SEARCH("health",B257)),ISNUMBER(SEARCH("care ",B257)),ISNUMBER(SEARCH("psych",B257)),ISNUMBER(SEARCH("medical",B257)),ISNUMBER(SEARCH("hospital",B257))),"medical",
ISNUMBER(SEARCH("correct",B257)),"correctional",
ISNUMBER(SEARCH("process",B257)),"processing",
ISNUMBER(SEARCH("detention center",B257)),"detention",
ISNUMBER(SEARCH("detention fac",B257)),"detention",
ISNUMBER(SEARCH("staging",B257)),"staging",
ISNUMBER(SEARCH("prison",B257)),"prison",
ISNUMBER(SEARCH("penet",B257)),"prison",
ISNUMBER(SEARCH("jail",B257)),"jail",
ISNUMBER(SEARCH("detention",B257)),"detention",
ISNUMBER(SEARCH("sheriff",B257)),"sheriff/police",
ISNUMBER(SEARCH("police",B257)),"sheriff/police",
TRUE,""
)</f>
        <v>jail</v>
      </c>
      <c r="H257">
        <f>INDEX(Sheet2!B:B,MATCH(C257,Sheet2!A:A,0),1)</f>
        <v>465</v>
      </c>
      <c r="I257">
        <f>3-COUNTBLANK(D257:F257)</f>
        <v>2</v>
      </c>
      <c r="J257">
        <f>IF(I257&gt;=2,H257,0)</f>
        <v>465</v>
      </c>
    </row>
    <row r="258" spans="1:10" x14ac:dyDescent="0.3">
      <c r="A258" t="s">
        <v>459</v>
      </c>
      <c r="B258" t="s">
        <v>1878</v>
      </c>
      <c r="C258" t="s">
        <v>1879</v>
      </c>
      <c r="D258" t="s">
        <v>152</v>
      </c>
      <c r="G258" t="str" cm="1">
        <f t="array" ref="G258">_xlfn.IFS(
ISNUMBER(SEARCH("hold",C258)),"hold",
ISNUMBER(SEARCH("youth",C258)),"youth",
ISNUMBER(SEARCH("juve",C258)),"youth",
OR(ISNUMBER(SEARCH("health",B258)),ISNUMBER(SEARCH("care ",B258)),ISNUMBER(SEARCH("psych",B258)),ISNUMBER(SEARCH("medical",B258)),ISNUMBER(SEARCH("hospital",B258))),"medical",
ISNUMBER(SEARCH("correct",B258)),"correctional",
ISNUMBER(SEARCH("process",B258)),"processing",
ISNUMBER(SEARCH("detention center",B258)),"detention",
ISNUMBER(SEARCH("detention fac",B258)),"detention",
ISNUMBER(SEARCH("staging",B258)),"staging",
ISNUMBER(SEARCH("prison",B258)),"prison",
ISNUMBER(SEARCH("penet",B258)),"prison",
ISNUMBER(SEARCH("jail",B258)),"jail",
ISNUMBER(SEARCH("detention",B258)),"detention",
ISNUMBER(SEARCH("sheriff",B258)),"sheriff/police",
ISNUMBER(SEARCH("police",B258)),"sheriff/police",
TRUE,""
)</f>
        <v>detention</v>
      </c>
      <c r="H258">
        <f>INDEX(Sheet2!B:B,MATCH(C258,Sheet2!A:A,0),1)</f>
        <v>458</v>
      </c>
      <c r="I258">
        <f>3-COUNTBLANK(D258:F258)</f>
        <v>1</v>
      </c>
      <c r="J258">
        <f>IF(I258&gt;=2,H258,0)</f>
        <v>0</v>
      </c>
    </row>
    <row r="259" spans="1:10" x14ac:dyDescent="0.3">
      <c r="A259" t="s">
        <v>1309</v>
      </c>
      <c r="B259" t="s">
        <v>1891</v>
      </c>
      <c r="C259" t="s">
        <v>1892</v>
      </c>
      <c r="D259" t="s">
        <v>72</v>
      </c>
      <c r="G259" t="str" cm="1">
        <f t="array" ref="G259">_xlfn.IFS(
ISNUMBER(SEARCH("hold",C259)),"hold",
ISNUMBER(SEARCH("youth",C259)),"youth",
ISNUMBER(SEARCH("juve",C259)),"youth",
OR(ISNUMBER(SEARCH("health",B259)),ISNUMBER(SEARCH("care ",B259)),ISNUMBER(SEARCH("psych",B259)),ISNUMBER(SEARCH("medical",B259)),ISNUMBER(SEARCH("hospital",B259))),"medical",
ISNUMBER(SEARCH("correct",B259)),"correctional",
ISNUMBER(SEARCH("process",B259)),"processing",
ISNUMBER(SEARCH("detention center",B259)),"detention",
ISNUMBER(SEARCH("detention fac",B259)),"detention",
ISNUMBER(SEARCH("staging",B259)),"staging",
ISNUMBER(SEARCH("prison",B259)),"prison",
ISNUMBER(SEARCH("penet",B259)),"prison",
ISNUMBER(SEARCH("jail",B259)),"jail",
ISNUMBER(SEARCH("detention",B259)),"detention",
ISNUMBER(SEARCH("sheriff",B259)),"sheriff/police",
ISNUMBER(SEARCH("police",B259)),"sheriff/police",
TRUE,""
)</f>
        <v/>
      </c>
      <c r="H259">
        <f>INDEX(Sheet2!B:B,MATCH(C259,Sheet2!A:A,0),1)</f>
        <v>3</v>
      </c>
      <c r="I259">
        <f>3-COUNTBLANK(D259:F259)</f>
        <v>1</v>
      </c>
      <c r="J259">
        <f>IF(I259&gt;=2,H259,0)</f>
        <v>0</v>
      </c>
    </row>
    <row r="260" spans="1:10" x14ac:dyDescent="0.3">
      <c r="A260" t="s">
        <v>465</v>
      </c>
      <c r="B260" t="s">
        <v>2547</v>
      </c>
      <c r="C260" t="s">
        <v>1974</v>
      </c>
      <c r="D260" t="s">
        <v>82</v>
      </c>
      <c r="F260" t="s">
        <v>2330</v>
      </c>
      <c r="G260" t="str" cm="1">
        <f t="array" ref="G260">_xlfn.IFS(
ISNUMBER(SEARCH("hold",C260)),"hold",
ISNUMBER(SEARCH("youth",C260)),"youth",
ISNUMBER(SEARCH("juve",C260)),"youth",
OR(ISNUMBER(SEARCH("health",B260)),ISNUMBER(SEARCH("care ",B260)),ISNUMBER(SEARCH("psych",B260)),ISNUMBER(SEARCH("medical",B260)),ISNUMBER(SEARCH("hospital",B260))),"medical",
ISNUMBER(SEARCH("correct",B260)),"correctional",
ISNUMBER(SEARCH("process",B260)),"processing",
ISNUMBER(SEARCH("detention center",B260)),"detention",
ISNUMBER(SEARCH("detention fac",B260)),"detention",
ISNUMBER(SEARCH("staging",B260)),"staging",
ISNUMBER(SEARCH("prison",B260)),"prison",
ISNUMBER(SEARCH("penet",B260)),"prison",
ISNUMBER(SEARCH("jail",B260)),"jail",
ISNUMBER(SEARCH("detention",B260)),"detention",
ISNUMBER(SEARCH("sheriff",B260)),"sheriff/police",
ISNUMBER(SEARCH("police",B260)),"sheriff/police",
TRUE,""
)</f>
        <v>detention</v>
      </c>
      <c r="H260">
        <f>INDEX(Sheet2!B:B,MATCH(C260,Sheet2!A:A,0),1)</f>
        <v>451</v>
      </c>
      <c r="I260">
        <f>3-COUNTBLANK(D260:F260)</f>
        <v>2</v>
      </c>
      <c r="J260">
        <f>IF(I260&gt;=2,H260,0)</f>
        <v>451</v>
      </c>
    </row>
    <row r="261" spans="1:10" x14ac:dyDescent="0.3">
      <c r="A261" t="s">
        <v>468</v>
      </c>
      <c r="B261" t="s">
        <v>1996</v>
      </c>
      <c r="C261" t="s">
        <v>1959</v>
      </c>
      <c r="D261" t="s">
        <v>159</v>
      </c>
      <c r="F261" t="s">
        <v>2390</v>
      </c>
      <c r="G261" t="str" cm="1">
        <f t="array" ref="G261">_xlfn.IFS(
ISNUMBER(SEARCH("hold",C261)),"hold",
ISNUMBER(SEARCH("youth",C261)),"youth",
ISNUMBER(SEARCH("juve",C261)),"youth",
OR(ISNUMBER(SEARCH("health",B261)),ISNUMBER(SEARCH("care ",B261)),ISNUMBER(SEARCH("psych",B261)),ISNUMBER(SEARCH("medical",B261)),ISNUMBER(SEARCH("hospital",B261))),"medical",
ISNUMBER(SEARCH("correct",B261)),"correctional",
ISNUMBER(SEARCH("process",B261)),"processing",
ISNUMBER(SEARCH("detention center",B261)),"detention",
ISNUMBER(SEARCH("detention fac",B261)),"detention",
ISNUMBER(SEARCH("staging",B261)),"staging",
ISNUMBER(SEARCH("prison",B261)),"prison",
ISNUMBER(SEARCH("penet",B261)),"prison",
ISNUMBER(SEARCH("jail",B261)),"jail",
ISNUMBER(SEARCH("detention",B261)),"detention",
ISNUMBER(SEARCH("sheriff",B261)),"sheriff/police",
ISNUMBER(SEARCH("police",B261)),"sheriff/police",
TRUE,""
)</f>
        <v>detention</v>
      </c>
      <c r="H261">
        <f>INDEX(Sheet2!B:B,MATCH(C261,Sheet2!A:A,0),1)</f>
        <v>446</v>
      </c>
      <c r="I261">
        <f>3-COUNTBLANK(D261:F261)</f>
        <v>2</v>
      </c>
      <c r="J261">
        <f>IF(I261&gt;=2,H261,0)</f>
        <v>446</v>
      </c>
    </row>
    <row r="262" spans="1:10" x14ac:dyDescent="0.3">
      <c r="A262" t="s">
        <v>471</v>
      </c>
      <c r="B262" t="s">
        <v>2548</v>
      </c>
      <c r="C262" t="s">
        <v>1257</v>
      </c>
      <c r="D262" t="s">
        <v>27</v>
      </c>
      <c r="F262" t="s">
        <v>2365</v>
      </c>
      <c r="G262" t="str" cm="1">
        <f t="array" ref="G262">_xlfn.IFS(
ISNUMBER(SEARCH("hold",C262)),"hold",
ISNUMBER(SEARCH("youth",C262)),"youth",
ISNUMBER(SEARCH("juve",C262)),"youth",
OR(ISNUMBER(SEARCH("health",B262)),ISNUMBER(SEARCH("care ",B262)),ISNUMBER(SEARCH("psych",B262)),ISNUMBER(SEARCH("medical",B262)),ISNUMBER(SEARCH("hospital",B262))),"medical",
ISNUMBER(SEARCH("correct",B262)),"correctional",
ISNUMBER(SEARCH("process",B262)),"processing",
ISNUMBER(SEARCH("detention center",B262)),"detention",
ISNUMBER(SEARCH("detention fac",B262)),"detention",
ISNUMBER(SEARCH("staging",B262)),"staging",
ISNUMBER(SEARCH("prison",B262)),"prison",
ISNUMBER(SEARCH("penet",B262)),"prison",
ISNUMBER(SEARCH("jail",B262)),"jail",
ISNUMBER(SEARCH("detention",B262)),"detention",
ISNUMBER(SEARCH("sheriff",B262)),"sheriff/police",
ISNUMBER(SEARCH("police",B262)),"sheriff/police",
TRUE,""
)</f>
        <v>detention</v>
      </c>
      <c r="H262">
        <f>INDEX(Sheet2!B:B,MATCH(C262,Sheet2!A:A,0),1)</f>
        <v>445</v>
      </c>
      <c r="I262">
        <f>3-COUNTBLANK(D262:F262)</f>
        <v>2</v>
      </c>
      <c r="J262">
        <f>IF(I262&gt;=2,H262,0)</f>
        <v>445</v>
      </c>
    </row>
    <row r="263" spans="1:10" x14ac:dyDescent="0.3">
      <c r="A263" t="s">
        <v>474</v>
      </c>
      <c r="B263" t="s">
        <v>431</v>
      </c>
      <c r="C263" t="s">
        <v>432</v>
      </c>
      <c r="D263" t="s">
        <v>50</v>
      </c>
      <c r="E263" t="s">
        <v>2472</v>
      </c>
      <c r="G263" t="str" cm="1">
        <f t="array" ref="G263">_xlfn.IFS(
ISNUMBER(SEARCH("hold",C263)),"hold",
ISNUMBER(SEARCH("youth",C263)),"youth",
ISNUMBER(SEARCH("juve",C263)),"youth",
OR(ISNUMBER(SEARCH("health",B263)),ISNUMBER(SEARCH("care ",B263)),ISNUMBER(SEARCH("psych",B263)),ISNUMBER(SEARCH("medical",B263)),ISNUMBER(SEARCH("hospital",B263))),"medical",
ISNUMBER(SEARCH("correct",B263)),"correctional",
ISNUMBER(SEARCH("process",B263)),"processing",
ISNUMBER(SEARCH("detention center",B263)),"detention",
ISNUMBER(SEARCH("detention fac",B263)),"detention",
ISNUMBER(SEARCH("staging",B263)),"staging",
ISNUMBER(SEARCH("prison",B263)),"prison",
ISNUMBER(SEARCH("penet",B263)),"prison",
ISNUMBER(SEARCH("jail",B263)),"jail",
ISNUMBER(SEARCH("detention",B263)),"detention",
ISNUMBER(SEARCH("sheriff",B263)),"sheriff/police",
ISNUMBER(SEARCH("police",B263)),"sheriff/police",
TRUE,""
)</f>
        <v>hold</v>
      </c>
      <c r="H263">
        <f>INDEX(Sheet2!B:B,MATCH(C263,Sheet2!A:A,0),1)</f>
        <v>441</v>
      </c>
      <c r="I263">
        <f>3-COUNTBLANK(D263:F263)</f>
        <v>2</v>
      </c>
      <c r="J263">
        <f>IF(I263&gt;=2,H263,0)</f>
        <v>441</v>
      </c>
    </row>
    <row r="264" spans="1:10" x14ac:dyDescent="0.3">
      <c r="A264" t="s">
        <v>477</v>
      </c>
      <c r="B264" t="s">
        <v>1556</v>
      </c>
      <c r="C264" t="s">
        <v>1557</v>
      </c>
      <c r="D264" t="s">
        <v>88</v>
      </c>
      <c r="F264" t="s">
        <v>2389</v>
      </c>
      <c r="G264" t="str" cm="1">
        <f t="array" ref="G264">_xlfn.IFS(
ISNUMBER(SEARCH("hold",C264)),"hold",
ISNUMBER(SEARCH("youth",C264)),"youth",
ISNUMBER(SEARCH("juve",C264)),"youth",
OR(ISNUMBER(SEARCH("health",B264)),ISNUMBER(SEARCH("care ",B264)),ISNUMBER(SEARCH("psych",B264)),ISNUMBER(SEARCH("medical",B264)),ISNUMBER(SEARCH("hospital",B264))),"medical",
ISNUMBER(SEARCH("correct",B264)),"correctional",
ISNUMBER(SEARCH("process",B264)),"processing",
ISNUMBER(SEARCH("detention center",B264)),"detention",
ISNUMBER(SEARCH("detention fac",B264)),"detention",
ISNUMBER(SEARCH("staging",B264)),"staging",
ISNUMBER(SEARCH("prison",B264)),"prison",
ISNUMBER(SEARCH("penet",B264)),"prison",
ISNUMBER(SEARCH("jail",B264)),"jail",
ISNUMBER(SEARCH("detention",B264)),"detention",
ISNUMBER(SEARCH("sheriff",B264)),"sheriff/police",
ISNUMBER(SEARCH("police",B264)),"sheriff/police",
TRUE,""
)</f>
        <v>jail</v>
      </c>
      <c r="H264">
        <f>INDEX(Sheet2!B:B,MATCH(C264,Sheet2!A:A,0),1)</f>
        <v>441</v>
      </c>
      <c r="I264">
        <f>3-COUNTBLANK(D264:F264)</f>
        <v>2</v>
      </c>
      <c r="J264">
        <f>IF(I264&gt;=2,H264,0)</f>
        <v>441</v>
      </c>
    </row>
    <row r="265" spans="1:10" x14ac:dyDescent="0.3">
      <c r="A265" t="s">
        <v>480</v>
      </c>
      <c r="B265" t="s">
        <v>1726</v>
      </c>
      <c r="C265" t="s">
        <v>1727</v>
      </c>
      <c r="D265" t="s">
        <v>73</v>
      </c>
      <c r="E265" t="s">
        <v>2473</v>
      </c>
      <c r="G265" t="str" cm="1">
        <f t="array" ref="G265">_xlfn.IFS(
ISNUMBER(SEARCH("hold",C265)),"hold",
ISNUMBER(SEARCH("youth",C265)),"youth",
ISNUMBER(SEARCH("juve",C265)),"youth",
OR(ISNUMBER(SEARCH("health",B265)),ISNUMBER(SEARCH("care ",B265)),ISNUMBER(SEARCH("psych",B265)),ISNUMBER(SEARCH("medical",B265)),ISNUMBER(SEARCH("hospital",B265))),"medical",
ISNUMBER(SEARCH("correct",B265)),"correctional",
ISNUMBER(SEARCH("process",B265)),"processing",
ISNUMBER(SEARCH("detention center",B265)),"detention",
ISNUMBER(SEARCH("detention fac",B265)),"detention",
ISNUMBER(SEARCH("staging",B265)),"staging",
ISNUMBER(SEARCH("prison",B265)),"prison",
ISNUMBER(SEARCH("penet",B265)),"prison",
ISNUMBER(SEARCH("jail",B265)),"jail",
ISNUMBER(SEARCH("detention",B265)),"detention",
ISNUMBER(SEARCH("sheriff",B265)),"sheriff/police",
ISNUMBER(SEARCH("police",B265)),"sheriff/police",
TRUE,""
)</f>
        <v>hold</v>
      </c>
      <c r="H265">
        <f>INDEX(Sheet2!B:B,MATCH(C265,Sheet2!A:A,0),1)</f>
        <v>434</v>
      </c>
      <c r="I265">
        <f>3-COUNTBLANK(D265:F265)</f>
        <v>2</v>
      </c>
      <c r="J265">
        <f>IF(I265&gt;=2,H265,0)</f>
        <v>434</v>
      </c>
    </row>
    <row r="266" spans="1:10" x14ac:dyDescent="0.3">
      <c r="A266" t="s">
        <v>483</v>
      </c>
      <c r="B266" t="s">
        <v>1020</v>
      </c>
      <c r="C266" t="s">
        <v>1022</v>
      </c>
      <c r="D266" t="s">
        <v>129</v>
      </c>
      <c r="F266" t="s">
        <v>2346</v>
      </c>
      <c r="G266" t="str" cm="1">
        <f t="array" ref="G266">_xlfn.IFS(
ISNUMBER(SEARCH("hold",C266)),"hold",
ISNUMBER(SEARCH("youth",C266)),"youth",
ISNUMBER(SEARCH("juve",C266)),"youth",
OR(ISNUMBER(SEARCH("health",B266)),ISNUMBER(SEARCH("care ",B266)),ISNUMBER(SEARCH("psych",B266)),ISNUMBER(SEARCH("medical",B266)),ISNUMBER(SEARCH("hospital",B266))),"medical",
ISNUMBER(SEARCH("correct",B266)),"correctional",
ISNUMBER(SEARCH("process",B266)),"processing",
ISNUMBER(SEARCH("detention center",B266)),"detention",
ISNUMBER(SEARCH("detention fac",B266)),"detention",
ISNUMBER(SEARCH("staging",B266)),"staging",
ISNUMBER(SEARCH("prison",B266)),"prison",
ISNUMBER(SEARCH("penet",B266)),"prison",
ISNUMBER(SEARCH("jail",B266)),"jail",
ISNUMBER(SEARCH("detention",B266)),"detention",
ISNUMBER(SEARCH("sheriff",B266)),"sheriff/police",
ISNUMBER(SEARCH("police",B266)),"sheriff/police",
TRUE,""
)</f>
        <v>jail</v>
      </c>
      <c r="H266">
        <f>INDEX(Sheet2!B:B,MATCH(C266,Sheet2!A:A,0),1)</f>
        <v>429</v>
      </c>
      <c r="I266">
        <f>3-COUNTBLANK(D266:F266)</f>
        <v>2</v>
      </c>
      <c r="J266">
        <f>IF(I266&gt;=2,H266,0)</f>
        <v>429</v>
      </c>
    </row>
    <row r="267" spans="1:10" x14ac:dyDescent="0.3">
      <c r="A267" t="s">
        <v>486</v>
      </c>
      <c r="B267" t="s">
        <v>1538</v>
      </c>
      <c r="C267" t="s">
        <v>1539</v>
      </c>
      <c r="D267" t="s">
        <v>50</v>
      </c>
      <c r="G267" t="str" cm="1">
        <f t="array" ref="G267">_xlfn.IFS(
ISNUMBER(SEARCH("hold",C267)),"hold",
ISNUMBER(SEARCH("youth",C267)),"youth",
ISNUMBER(SEARCH("juve",C267)),"youth",
OR(ISNUMBER(SEARCH("health",B267)),ISNUMBER(SEARCH("care ",B267)),ISNUMBER(SEARCH("psych",B267)),ISNUMBER(SEARCH("medical",B267)),ISNUMBER(SEARCH("hospital",B267))),"medical",
ISNUMBER(SEARCH("correct",B267)),"correctional",
ISNUMBER(SEARCH("process",B267)),"processing",
ISNUMBER(SEARCH("detention center",B267)),"detention",
ISNUMBER(SEARCH("detention fac",B267)),"detention",
ISNUMBER(SEARCH("staging",B267)),"staging",
ISNUMBER(SEARCH("prison",B267)),"prison",
ISNUMBER(SEARCH("penet",B267)),"prison",
ISNUMBER(SEARCH("jail",B267)),"jail",
ISNUMBER(SEARCH("detention",B267)),"detention",
ISNUMBER(SEARCH("sheriff",B267)),"sheriff/police",
ISNUMBER(SEARCH("police",B267)),"sheriff/police",
TRUE,""
)</f>
        <v>jail</v>
      </c>
      <c r="H267">
        <f>INDEX(Sheet2!B:B,MATCH(C267,Sheet2!A:A,0),1)</f>
        <v>426</v>
      </c>
      <c r="I267">
        <f>3-COUNTBLANK(D267:F267)</f>
        <v>1</v>
      </c>
      <c r="J267">
        <f>IF(I267&gt;=2,H267,0)</f>
        <v>0</v>
      </c>
    </row>
    <row r="268" spans="1:10" x14ac:dyDescent="0.3">
      <c r="A268" t="s">
        <v>489</v>
      </c>
      <c r="B268" t="s">
        <v>1020</v>
      </c>
      <c r="C268" t="s">
        <v>1021</v>
      </c>
      <c r="D268" t="s">
        <v>68</v>
      </c>
      <c r="F268" t="s">
        <v>2346</v>
      </c>
      <c r="G268" t="str" cm="1">
        <f t="array" ref="G268">_xlfn.IFS(
ISNUMBER(SEARCH("hold",C268)),"hold",
ISNUMBER(SEARCH("youth",C268)),"youth",
ISNUMBER(SEARCH("juve",C268)),"youth",
OR(ISNUMBER(SEARCH("health",B268)),ISNUMBER(SEARCH("care ",B268)),ISNUMBER(SEARCH("psych",B268)),ISNUMBER(SEARCH("medical",B268)),ISNUMBER(SEARCH("hospital",B268))),"medical",
ISNUMBER(SEARCH("correct",B268)),"correctional",
ISNUMBER(SEARCH("process",B268)),"processing",
ISNUMBER(SEARCH("detention center",B268)),"detention",
ISNUMBER(SEARCH("detention fac",B268)),"detention",
ISNUMBER(SEARCH("staging",B268)),"staging",
ISNUMBER(SEARCH("prison",B268)),"prison",
ISNUMBER(SEARCH("penet",B268)),"prison",
ISNUMBER(SEARCH("jail",B268)),"jail",
ISNUMBER(SEARCH("detention",B268)),"detention",
ISNUMBER(SEARCH("sheriff",B268)),"sheriff/police",
ISNUMBER(SEARCH("police",B268)),"sheriff/police",
TRUE,""
)</f>
        <v>jail</v>
      </c>
      <c r="H268">
        <f>INDEX(Sheet2!B:B,MATCH(C268,Sheet2!A:A,0),1)</f>
        <v>401</v>
      </c>
      <c r="I268">
        <f>3-COUNTBLANK(D268:F268)</f>
        <v>2</v>
      </c>
      <c r="J268">
        <f>IF(I268&gt;=2,H268,0)</f>
        <v>401</v>
      </c>
    </row>
    <row r="269" spans="1:10" x14ac:dyDescent="0.3">
      <c r="A269" t="s">
        <v>492</v>
      </c>
      <c r="B269" t="s">
        <v>2533</v>
      </c>
      <c r="C269" t="s">
        <v>37</v>
      </c>
      <c r="G269" t="str" cm="1">
        <f t="array" ref="G269">_xlfn.IFS(
ISNUMBER(SEARCH("hold",C269)),"hold",
ISNUMBER(SEARCH("youth",C269)),"youth",
ISNUMBER(SEARCH("juve",C269)),"youth",
OR(ISNUMBER(SEARCH("health",B269)),ISNUMBER(SEARCH("care ",B269)),ISNUMBER(SEARCH("psych",B269)),ISNUMBER(SEARCH("medical",B269)),ISNUMBER(SEARCH("hospital",B269))),"medical",
ISNUMBER(SEARCH("correct",B269)),"correctional",
ISNUMBER(SEARCH("process",B269)),"processing",
ISNUMBER(SEARCH("detention center",B269)),"detention",
ISNUMBER(SEARCH("detention fac",B269)),"detention",
ISNUMBER(SEARCH("staging",B269)),"staging",
ISNUMBER(SEARCH("prison",B269)),"prison",
ISNUMBER(SEARCH("penet",B269)),"prison",
ISNUMBER(SEARCH("jail",B269)),"jail",
ISNUMBER(SEARCH("detention",B269)),"detention",
ISNUMBER(SEARCH("sheriff",B269)),"sheriff/police",
ISNUMBER(SEARCH("police",B269)),"sheriff/police",
TRUE,""
)</f>
        <v>correctional</v>
      </c>
      <c r="H269">
        <f>INDEX(Sheet2!B:B,MATCH(C269,Sheet2!A:A,0),1)</f>
        <v>397</v>
      </c>
      <c r="I269">
        <f>3-COUNTBLANK(D269:F269)</f>
        <v>0</v>
      </c>
      <c r="J269">
        <f>IF(I269&gt;=2,H269,0)</f>
        <v>0</v>
      </c>
    </row>
    <row r="270" spans="1:10" x14ac:dyDescent="0.3">
      <c r="A270" t="s">
        <v>495</v>
      </c>
      <c r="B270" t="s">
        <v>1983</v>
      </c>
      <c r="C270" t="s">
        <v>562</v>
      </c>
      <c r="D270" t="s">
        <v>72</v>
      </c>
      <c r="F270" t="s">
        <v>2367</v>
      </c>
      <c r="G270" t="str" cm="1">
        <f t="array" ref="G270">_xlfn.IFS(
ISNUMBER(SEARCH("hold",C270)),"hold",
ISNUMBER(SEARCH("youth",C270)),"youth",
ISNUMBER(SEARCH("juve",C270)),"youth",
OR(ISNUMBER(SEARCH("health",B270)),ISNUMBER(SEARCH("care ",B270)),ISNUMBER(SEARCH("psych",B270)),ISNUMBER(SEARCH("medical",B270)),ISNUMBER(SEARCH("hospital",B270))),"medical",
ISNUMBER(SEARCH("correct",B270)),"correctional",
ISNUMBER(SEARCH("process",B270)),"processing",
ISNUMBER(SEARCH("detention center",B270)),"detention",
ISNUMBER(SEARCH("detention fac",B270)),"detention",
ISNUMBER(SEARCH("staging",B270)),"staging",
ISNUMBER(SEARCH("prison",B270)),"prison",
ISNUMBER(SEARCH("penet",B270)),"prison",
ISNUMBER(SEARCH("jail",B270)),"jail",
ISNUMBER(SEARCH("detention",B270)),"detention",
ISNUMBER(SEARCH("sheriff",B270)),"sheriff/police",
ISNUMBER(SEARCH("police",B270)),"sheriff/police",
TRUE,""
)</f>
        <v>correctional</v>
      </c>
      <c r="H270">
        <f>INDEX(Sheet2!B:B,MATCH(C270,Sheet2!A:A,0),1)</f>
        <v>395</v>
      </c>
      <c r="I270">
        <f>3-COUNTBLANK(D270:F270)</f>
        <v>2</v>
      </c>
      <c r="J270">
        <f>IF(I270&gt;=2,H270,0)</f>
        <v>395</v>
      </c>
    </row>
    <row r="271" spans="1:10" x14ac:dyDescent="0.3">
      <c r="A271" t="s">
        <v>498</v>
      </c>
      <c r="B271" t="s">
        <v>1161</v>
      </c>
      <c r="C271" t="s">
        <v>1162</v>
      </c>
      <c r="D271" t="s">
        <v>50</v>
      </c>
      <c r="E271" t="s">
        <v>1159</v>
      </c>
      <c r="G271" t="str" cm="1">
        <f t="array" ref="G271">_xlfn.IFS(
ISNUMBER(SEARCH("hold",C271)),"hold",
ISNUMBER(SEARCH("youth",C271)),"youth",
ISNUMBER(SEARCH("juve",C271)),"youth",
OR(ISNUMBER(SEARCH("health",B271)),ISNUMBER(SEARCH("care ",B271)),ISNUMBER(SEARCH("psych",B271)),ISNUMBER(SEARCH("medical",B271)),ISNUMBER(SEARCH("hospital",B271))),"medical",
ISNUMBER(SEARCH("correct",B271)),"correctional",
ISNUMBER(SEARCH("process",B271)),"processing",
ISNUMBER(SEARCH("detention center",B271)),"detention",
ISNUMBER(SEARCH("detention fac",B271)),"detention",
ISNUMBER(SEARCH("staging",B271)),"staging",
ISNUMBER(SEARCH("prison",B271)),"prison",
ISNUMBER(SEARCH("penet",B271)),"prison",
ISNUMBER(SEARCH("jail",B271)),"jail",
ISNUMBER(SEARCH("detention",B271)),"detention",
ISNUMBER(SEARCH("sheriff",B271)),"sheriff/police",
ISNUMBER(SEARCH("police",B271)),"sheriff/police",
TRUE,""
)</f>
        <v>hold</v>
      </c>
      <c r="H271">
        <f>INDEX(Sheet2!B:B,MATCH(C271,Sheet2!A:A,0),1)</f>
        <v>394</v>
      </c>
      <c r="I271">
        <f>3-COUNTBLANK(D271:F271)</f>
        <v>2</v>
      </c>
      <c r="J271">
        <f>IF(I271&gt;=2,H271,0)</f>
        <v>394</v>
      </c>
    </row>
    <row r="272" spans="1:10" x14ac:dyDescent="0.3">
      <c r="A272" t="s">
        <v>501</v>
      </c>
      <c r="B272" t="s">
        <v>830</v>
      </c>
      <c r="C272" t="s">
        <v>831</v>
      </c>
      <c r="D272" t="s">
        <v>200</v>
      </c>
      <c r="F272" t="s">
        <v>2335</v>
      </c>
      <c r="G272" t="str" cm="1">
        <f t="array" ref="G272">_xlfn.IFS(
ISNUMBER(SEARCH("hold",C272)),"hold",
ISNUMBER(SEARCH("youth",C272)),"youth",
ISNUMBER(SEARCH("juve",C272)),"youth",
OR(ISNUMBER(SEARCH("health",B272)),ISNUMBER(SEARCH("care ",B272)),ISNUMBER(SEARCH("psych",B272)),ISNUMBER(SEARCH("medical",B272)),ISNUMBER(SEARCH("hospital",B272))),"medical",
ISNUMBER(SEARCH("correct",B272)),"correctional",
ISNUMBER(SEARCH("process",B272)),"processing",
ISNUMBER(SEARCH("detention center",B272)),"detention",
ISNUMBER(SEARCH("detention fac",B272)),"detention",
ISNUMBER(SEARCH("staging",B272)),"staging",
ISNUMBER(SEARCH("prison",B272)),"prison",
ISNUMBER(SEARCH("penet",B272)),"prison",
ISNUMBER(SEARCH("jail",B272)),"jail",
ISNUMBER(SEARCH("detention",B272)),"detention",
ISNUMBER(SEARCH("sheriff",B272)),"sheriff/police",
ISNUMBER(SEARCH("police",B272)),"sheriff/police",
TRUE,""
)</f>
        <v>jail</v>
      </c>
      <c r="H272">
        <f>INDEX(Sheet2!B:B,MATCH(C272,Sheet2!A:A,0),1)</f>
        <v>390</v>
      </c>
      <c r="I272">
        <f>3-COUNTBLANK(D272:F272)</f>
        <v>2</v>
      </c>
      <c r="J272">
        <f>IF(I272&gt;=2,H272,0)</f>
        <v>390</v>
      </c>
    </row>
    <row r="273" spans="1:10" x14ac:dyDescent="0.3">
      <c r="A273" t="s">
        <v>1324</v>
      </c>
      <c r="B273" t="s">
        <v>1842</v>
      </c>
      <c r="C273" t="s">
        <v>1843</v>
      </c>
      <c r="D273" t="s">
        <v>31</v>
      </c>
      <c r="G273" t="str" cm="1">
        <f t="array" ref="G273">_xlfn.IFS(
ISNUMBER(SEARCH("hold",C273)),"hold",
ISNUMBER(SEARCH("youth",C273)),"youth",
ISNUMBER(SEARCH("juve",C273)),"youth",
OR(ISNUMBER(SEARCH("health",B273)),ISNUMBER(SEARCH("care ",B273)),ISNUMBER(SEARCH("psych",B273)),ISNUMBER(SEARCH("medical",B273)),ISNUMBER(SEARCH("hospital",B273))),"medical",
ISNUMBER(SEARCH("correct",B273)),"correctional",
ISNUMBER(SEARCH("process",B273)),"processing",
ISNUMBER(SEARCH("detention center",B273)),"detention",
ISNUMBER(SEARCH("detention fac",B273)),"detention",
ISNUMBER(SEARCH("staging",B273)),"staging",
ISNUMBER(SEARCH("prison",B273)),"prison",
ISNUMBER(SEARCH("penet",B273)),"prison",
ISNUMBER(SEARCH("jail",B273)),"jail",
ISNUMBER(SEARCH("detention",B273)),"detention",
ISNUMBER(SEARCH("sheriff",B273)),"sheriff/police",
ISNUMBER(SEARCH("police",B273)),"sheriff/police",
TRUE,""
)</f>
        <v/>
      </c>
      <c r="H273">
        <f>INDEX(Sheet2!B:B,MATCH(C273,Sheet2!A:A,0),1)</f>
        <v>3</v>
      </c>
      <c r="I273">
        <f>3-COUNTBLANK(D273:F273)</f>
        <v>1</v>
      </c>
      <c r="J273">
        <f>IF(I273&gt;=2,H273,0)</f>
        <v>0</v>
      </c>
    </row>
    <row r="274" spans="1:10" x14ac:dyDescent="0.3">
      <c r="A274" t="s">
        <v>506</v>
      </c>
      <c r="B274" t="s">
        <v>827</v>
      </c>
      <c r="C274" t="s">
        <v>828</v>
      </c>
      <c r="D274" t="s">
        <v>73</v>
      </c>
      <c r="G274" t="str" cm="1">
        <f t="array" ref="G274">_xlfn.IFS(
ISNUMBER(SEARCH("hold",C274)),"hold",
ISNUMBER(SEARCH("youth",C274)),"youth",
ISNUMBER(SEARCH("juve",C274)),"youth",
OR(ISNUMBER(SEARCH("health",B274)),ISNUMBER(SEARCH("care ",B274)),ISNUMBER(SEARCH("psych",B274)),ISNUMBER(SEARCH("medical",B274)),ISNUMBER(SEARCH("hospital",B274))),"medical",
ISNUMBER(SEARCH("correct",B274)),"correctional",
ISNUMBER(SEARCH("process",B274)),"processing",
ISNUMBER(SEARCH("detention center",B274)),"detention",
ISNUMBER(SEARCH("detention fac",B274)),"detention",
ISNUMBER(SEARCH("staging",B274)),"staging",
ISNUMBER(SEARCH("prison",B274)),"prison",
ISNUMBER(SEARCH("penet",B274)),"prison",
ISNUMBER(SEARCH("jail",B274)),"jail",
ISNUMBER(SEARCH("detention",B274)),"detention",
ISNUMBER(SEARCH("sheriff",B274)),"sheriff/police",
ISNUMBER(SEARCH("police",B274)),"sheriff/police",
TRUE,""
)</f>
        <v>detention</v>
      </c>
      <c r="H274">
        <f>INDEX(Sheet2!B:B,MATCH(C274,Sheet2!A:A,0),1)</f>
        <v>388</v>
      </c>
      <c r="I274">
        <f>3-COUNTBLANK(D274:F274)</f>
        <v>1</v>
      </c>
      <c r="J274">
        <f>IF(I274&gt;=2,H274,0)</f>
        <v>0</v>
      </c>
    </row>
    <row r="275" spans="1:10" x14ac:dyDescent="0.3">
      <c r="A275" t="s">
        <v>510</v>
      </c>
      <c r="B275" t="s">
        <v>33</v>
      </c>
      <c r="C275" t="s">
        <v>34</v>
      </c>
      <c r="G275" t="str" cm="1">
        <f t="array" ref="G275">_xlfn.IFS(
ISNUMBER(SEARCH("hold",C275)),"hold",
ISNUMBER(SEARCH("youth",C275)),"youth",
ISNUMBER(SEARCH("juve",C275)),"youth",
OR(ISNUMBER(SEARCH("health",B275)),ISNUMBER(SEARCH("care ",B275)),ISNUMBER(SEARCH("psych",B275)),ISNUMBER(SEARCH("medical",B275)),ISNUMBER(SEARCH("hospital",B275))),"medical",
ISNUMBER(SEARCH("correct",B275)),"correctional",
ISNUMBER(SEARCH("process",B275)),"processing",
ISNUMBER(SEARCH("detention center",B275)),"detention",
ISNUMBER(SEARCH("detention fac",B275)),"detention",
ISNUMBER(SEARCH("staging",B275)),"staging",
ISNUMBER(SEARCH("prison",B275)),"prison",
ISNUMBER(SEARCH("penet",B275)),"prison",
ISNUMBER(SEARCH("jail",B275)),"jail",
ISNUMBER(SEARCH("detention",B275)),"detention",
ISNUMBER(SEARCH("sheriff",B275)),"sheriff/police",
ISNUMBER(SEARCH("police",B275)),"sheriff/police",
TRUE,""
)</f>
        <v>hold</v>
      </c>
      <c r="H275">
        <f>INDEX(Sheet2!B:B,MATCH(C275,Sheet2!A:A,0),1)</f>
        <v>381</v>
      </c>
      <c r="I275">
        <f>3-COUNTBLANK(D275:F275)</f>
        <v>0</v>
      </c>
      <c r="J275">
        <f>IF(I275&gt;=2,H275,0)</f>
        <v>0</v>
      </c>
    </row>
    <row r="276" spans="1:10" x14ac:dyDescent="0.3">
      <c r="A276" t="s">
        <v>513</v>
      </c>
      <c r="B276" t="s">
        <v>1322</v>
      </c>
      <c r="C276" t="s">
        <v>1323</v>
      </c>
      <c r="D276" t="s">
        <v>2423</v>
      </c>
      <c r="E276" t="s">
        <v>87</v>
      </c>
      <c r="G276" t="str" cm="1">
        <f t="array" ref="G276">_xlfn.IFS(
ISNUMBER(SEARCH("hold",C276)),"hold",
ISNUMBER(SEARCH("youth",C276)),"youth",
ISNUMBER(SEARCH("juve",C276)),"youth",
OR(ISNUMBER(SEARCH("health",B276)),ISNUMBER(SEARCH("care ",B276)),ISNUMBER(SEARCH("psych",B276)),ISNUMBER(SEARCH("medical",B276)),ISNUMBER(SEARCH("hospital",B276))),"medical",
ISNUMBER(SEARCH("correct",B276)),"correctional",
ISNUMBER(SEARCH("process",B276)),"processing",
ISNUMBER(SEARCH("detention center",B276)),"detention",
ISNUMBER(SEARCH("detention fac",B276)),"detention",
ISNUMBER(SEARCH("staging",B276)),"staging",
ISNUMBER(SEARCH("prison",B276)),"prison",
ISNUMBER(SEARCH("penet",B276)),"prison",
ISNUMBER(SEARCH("jail",B276)),"jail",
ISNUMBER(SEARCH("detention",B276)),"detention",
ISNUMBER(SEARCH("sheriff",B276)),"sheriff/police",
ISNUMBER(SEARCH("police",B276)),"sheriff/police",
TRUE,""
)</f>
        <v>hold</v>
      </c>
      <c r="H276">
        <f>INDEX(Sheet2!B:B,MATCH(C276,Sheet2!A:A,0),1)</f>
        <v>370</v>
      </c>
      <c r="I276">
        <f>3-COUNTBLANK(D276:F276)</f>
        <v>2</v>
      </c>
      <c r="J276">
        <f>IF(I276&gt;=2,H276,0)</f>
        <v>370</v>
      </c>
    </row>
    <row r="277" spans="1:10" x14ac:dyDescent="0.3">
      <c r="A277" t="s">
        <v>516</v>
      </c>
      <c r="B277" t="s">
        <v>1894</v>
      </c>
      <c r="C277" t="s">
        <v>1895</v>
      </c>
      <c r="D277" t="s">
        <v>78</v>
      </c>
      <c r="E277" t="s">
        <v>542</v>
      </c>
      <c r="G277" t="str" cm="1">
        <f t="array" ref="G277">_xlfn.IFS(
ISNUMBER(SEARCH("hold",C277)),"hold",
ISNUMBER(SEARCH("youth",C277)),"youth",
ISNUMBER(SEARCH("juve",C277)),"youth",
OR(ISNUMBER(SEARCH("health",B277)),ISNUMBER(SEARCH("care ",B277)),ISNUMBER(SEARCH("psych",B277)),ISNUMBER(SEARCH("medical",B277)),ISNUMBER(SEARCH("hospital",B277))),"medical",
ISNUMBER(SEARCH("correct",B277)),"correctional",
ISNUMBER(SEARCH("process",B277)),"processing",
ISNUMBER(SEARCH("detention center",B277)),"detention",
ISNUMBER(SEARCH("detention fac",B277)),"detention",
ISNUMBER(SEARCH("staging",B277)),"staging",
ISNUMBER(SEARCH("prison",B277)),"prison",
ISNUMBER(SEARCH("penet",B277)),"prison",
ISNUMBER(SEARCH("jail",B277)),"jail",
ISNUMBER(SEARCH("detention",B277)),"detention",
ISNUMBER(SEARCH("sheriff",B277)),"sheriff/police",
ISNUMBER(SEARCH("police",B277)),"sheriff/police",
TRUE,""
)</f>
        <v>hold</v>
      </c>
      <c r="H277">
        <f>INDEX(Sheet2!B:B,MATCH(C277,Sheet2!A:A,0),1)</f>
        <v>368</v>
      </c>
      <c r="I277">
        <f>3-COUNTBLANK(D277:F277)</f>
        <v>2</v>
      </c>
      <c r="J277">
        <f>IF(I277&gt;=2,H277,0)</f>
        <v>368</v>
      </c>
    </row>
    <row r="278" spans="1:10" x14ac:dyDescent="0.3">
      <c r="A278" t="s">
        <v>519</v>
      </c>
      <c r="B278" t="s">
        <v>286</v>
      </c>
      <c r="C278" t="s">
        <v>287</v>
      </c>
      <c r="D278" t="s">
        <v>59</v>
      </c>
      <c r="F278" t="s">
        <v>2313</v>
      </c>
      <c r="G278" t="str" cm="1">
        <f t="array" ref="G278">_xlfn.IFS(
ISNUMBER(SEARCH("hold",C278)),"hold",
ISNUMBER(SEARCH("youth",C278)),"youth",
ISNUMBER(SEARCH("juve",C278)),"youth",
OR(ISNUMBER(SEARCH("health",B278)),ISNUMBER(SEARCH("care ",B278)),ISNUMBER(SEARCH("psych",B278)),ISNUMBER(SEARCH("medical",B278)),ISNUMBER(SEARCH("hospital",B278))),"medical",
ISNUMBER(SEARCH("correct",B278)),"correctional",
ISNUMBER(SEARCH("process",B278)),"processing",
ISNUMBER(SEARCH("detention center",B278)),"detention",
ISNUMBER(SEARCH("detention fac",B278)),"detention",
ISNUMBER(SEARCH("staging",B278)),"staging",
ISNUMBER(SEARCH("prison",B278)),"prison",
ISNUMBER(SEARCH("penet",B278)),"prison",
ISNUMBER(SEARCH("jail",B278)),"jail",
ISNUMBER(SEARCH("detention",B278)),"detention",
ISNUMBER(SEARCH("sheriff",B278)),"sheriff/police",
ISNUMBER(SEARCH("police",B278)),"sheriff/police",
TRUE,""
)</f>
        <v>jail</v>
      </c>
      <c r="H278">
        <f>INDEX(Sheet2!B:B,MATCH(C278,Sheet2!A:A,0),1)</f>
        <v>363</v>
      </c>
      <c r="I278">
        <f>3-COUNTBLANK(D278:F278)</f>
        <v>2</v>
      </c>
      <c r="J278">
        <f>IF(I278&gt;=2,H278,0)</f>
        <v>363</v>
      </c>
    </row>
    <row r="279" spans="1:10" x14ac:dyDescent="0.3">
      <c r="A279" t="s">
        <v>522</v>
      </c>
      <c r="B279" t="s">
        <v>202</v>
      </c>
      <c r="C279" t="s">
        <v>203</v>
      </c>
      <c r="D279" t="s">
        <v>73</v>
      </c>
      <c r="F279" t="s">
        <v>2306</v>
      </c>
      <c r="G279" t="str" cm="1">
        <f t="array" ref="G279">_xlfn.IFS(
ISNUMBER(SEARCH("hold",C279)),"hold",
ISNUMBER(SEARCH("youth",C279)),"youth",
ISNUMBER(SEARCH("juve",C279)),"youth",
OR(ISNUMBER(SEARCH("health",B279)),ISNUMBER(SEARCH("care ",B279)),ISNUMBER(SEARCH("psych",B279)),ISNUMBER(SEARCH("medical",B279)),ISNUMBER(SEARCH("hospital",B279))),"medical",
ISNUMBER(SEARCH("correct",B279)),"correctional",
ISNUMBER(SEARCH("process",B279)),"processing",
ISNUMBER(SEARCH("detention center",B279)),"detention",
ISNUMBER(SEARCH("detention fac",B279)),"detention",
ISNUMBER(SEARCH("staging",B279)),"staging",
ISNUMBER(SEARCH("prison",B279)),"prison",
ISNUMBER(SEARCH("penet",B279)),"prison",
ISNUMBER(SEARCH("jail",B279)),"jail",
ISNUMBER(SEARCH("detention",B279)),"detention",
ISNUMBER(SEARCH("sheriff",B279)),"sheriff/police",
ISNUMBER(SEARCH("police",B279)),"sheriff/police",
TRUE,""
)</f>
        <v>jail</v>
      </c>
      <c r="H279">
        <f>INDEX(Sheet2!B:B,MATCH(C279,Sheet2!A:A,0),1)</f>
        <v>362</v>
      </c>
      <c r="I279">
        <f>3-COUNTBLANK(D279:F279)</f>
        <v>2</v>
      </c>
      <c r="J279">
        <f>IF(I279&gt;=2,H279,0)</f>
        <v>362</v>
      </c>
    </row>
    <row r="280" spans="1:10" x14ac:dyDescent="0.3">
      <c r="A280" t="s">
        <v>525</v>
      </c>
      <c r="B280" t="s">
        <v>264</v>
      </c>
      <c r="C280" t="s">
        <v>265</v>
      </c>
      <c r="D280" t="s">
        <v>91</v>
      </c>
      <c r="F280" t="s">
        <v>2311</v>
      </c>
      <c r="G280" t="str" cm="1">
        <f t="array" ref="G280">_xlfn.IFS(
ISNUMBER(SEARCH("hold",C280)),"hold",
ISNUMBER(SEARCH("youth",C280)),"youth",
ISNUMBER(SEARCH("juve",C280)),"youth",
OR(ISNUMBER(SEARCH("health",B280)),ISNUMBER(SEARCH("care ",B280)),ISNUMBER(SEARCH("psych",B280)),ISNUMBER(SEARCH("medical",B280)),ISNUMBER(SEARCH("hospital",B280))),"medical",
ISNUMBER(SEARCH("correct",B280)),"correctional",
ISNUMBER(SEARCH("process",B280)),"processing",
ISNUMBER(SEARCH("detention center",B280)),"detention",
ISNUMBER(SEARCH("detention fac",B280)),"detention",
ISNUMBER(SEARCH("staging",B280)),"staging",
ISNUMBER(SEARCH("prison",B280)),"prison",
ISNUMBER(SEARCH("penet",B280)),"prison",
ISNUMBER(SEARCH("jail",B280)),"jail",
ISNUMBER(SEARCH("detention",B280)),"detention",
ISNUMBER(SEARCH("sheriff",B280)),"sheriff/police",
ISNUMBER(SEARCH("police",B280)),"sheriff/police",
TRUE,""
)</f>
        <v>jail</v>
      </c>
      <c r="H280">
        <f>INDEX(Sheet2!B:B,MATCH(C280,Sheet2!A:A,0),1)</f>
        <v>357</v>
      </c>
      <c r="I280">
        <f>3-COUNTBLANK(D280:F280)</f>
        <v>2</v>
      </c>
      <c r="J280">
        <f>IF(I280&gt;=2,H280,0)</f>
        <v>357</v>
      </c>
    </row>
    <row r="281" spans="1:10" x14ac:dyDescent="0.3">
      <c r="A281" t="s">
        <v>683</v>
      </c>
      <c r="B281" t="s">
        <v>136</v>
      </c>
      <c r="C281" t="s">
        <v>137</v>
      </c>
      <c r="D281" t="s">
        <v>133</v>
      </c>
      <c r="F281" t="s">
        <v>2304</v>
      </c>
      <c r="G281" t="str" cm="1">
        <f t="array" ref="G281">_xlfn.IFS(
ISNUMBER(SEARCH("hold",C281)),"hold",
ISNUMBER(SEARCH("youth",C281)),"youth",
ISNUMBER(SEARCH("juve",C281)),"youth",
OR(ISNUMBER(SEARCH("health",B281)),ISNUMBER(SEARCH("care ",B281)),ISNUMBER(SEARCH("psych",B281)),ISNUMBER(SEARCH("medical",B281)),ISNUMBER(SEARCH("hospital",B281))),"medical",
ISNUMBER(SEARCH("correct",B281)),"correctional",
ISNUMBER(SEARCH("process",B281)),"processing",
ISNUMBER(SEARCH("detention center",B281)),"detention",
ISNUMBER(SEARCH("detention fac",B281)),"detention",
ISNUMBER(SEARCH("staging",B281)),"staging",
ISNUMBER(SEARCH("prison",B281)),"prison",
ISNUMBER(SEARCH("penet",B281)),"prison",
ISNUMBER(SEARCH("jail",B281)),"jail",
ISNUMBER(SEARCH("detention",B281)),"detention",
ISNUMBER(SEARCH("sheriff",B281)),"sheriff/police",
ISNUMBER(SEARCH("police",B281)),"sheriff/police",
TRUE,""
)</f>
        <v/>
      </c>
      <c r="H281">
        <f>INDEX(Sheet2!B:B,MATCH(C281,Sheet2!A:A,0),1)</f>
        <v>191</v>
      </c>
      <c r="I281">
        <f>3-COUNTBLANK(D281:F281)</f>
        <v>2</v>
      </c>
      <c r="J281">
        <f>IF(I281&gt;=2,H281,0)</f>
        <v>191</v>
      </c>
    </row>
    <row r="282" spans="1:10" x14ac:dyDescent="0.3">
      <c r="A282" t="s">
        <v>532</v>
      </c>
      <c r="B282" t="s">
        <v>1923</v>
      </c>
      <c r="C282" t="s">
        <v>1924</v>
      </c>
      <c r="D282" t="s">
        <v>83</v>
      </c>
      <c r="F282" t="s">
        <v>2240</v>
      </c>
      <c r="G282" t="str" cm="1">
        <f t="array" ref="G282">_xlfn.IFS(
ISNUMBER(SEARCH("hold",C282)),"hold",
ISNUMBER(SEARCH("youth",C282)),"youth",
ISNUMBER(SEARCH("juve",C282)),"youth",
OR(ISNUMBER(SEARCH("health",B282)),ISNUMBER(SEARCH("care ",B282)),ISNUMBER(SEARCH("psych",B282)),ISNUMBER(SEARCH("medical",B282)),ISNUMBER(SEARCH("hospital",B282))),"medical",
ISNUMBER(SEARCH("correct",B282)),"correctional",
ISNUMBER(SEARCH("process",B282)),"processing",
ISNUMBER(SEARCH("detention center",B282)),"detention",
ISNUMBER(SEARCH("detention fac",B282)),"detention",
ISNUMBER(SEARCH("staging",B282)),"staging",
ISNUMBER(SEARCH("prison",B282)),"prison",
ISNUMBER(SEARCH("penet",B282)),"prison",
ISNUMBER(SEARCH("jail",B282)),"jail",
ISNUMBER(SEARCH("detention",B282)),"detention",
ISNUMBER(SEARCH("sheriff",B282)),"sheriff/police",
ISNUMBER(SEARCH("police",B282)),"sheriff/police",
TRUE,""
)</f>
        <v>jail</v>
      </c>
      <c r="H282">
        <f>INDEX(Sheet2!B:B,MATCH(C282,Sheet2!A:A,0),1)</f>
        <v>354</v>
      </c>
      <c r="I282">
        <f>3-COUNTBLANK(D282:F282)</f>
        <v>2</v>
      </c>
      <c r="J282">
        <f>IF(I282&gt;=2,H282,0)</f>
        <v>354</v>
      </c>
    </row>
    <row r="283" spans="1:10" x14ac:dyDescent="0.3">
      <c r="A283" t="s">
        <v>535</v>
      </c>
      <c r="B283" t="s">
        <v>849</v>
      </c>
      <c r="C283" t="s">
        <v>850</v>
      </c>
      <c r="D283" t="s">
        <v>42</v>
      </c>
      <c r="E283" t="s">
        <v>2406</v>
      </c>
      <c r="F283" t="s">
        <v>2344</v>
      </c>
      <c r="G283" t="str" cm="1">
        <f t="array" ref="G283">_xlfn.IFS(
ISNUMBER(SEARCH("hold",C283)),"hold",
ISNUMBER(SEARCH("youth",C283)),"youth",
ISNUMBER(SEARCH("juve",C283)),"youth",
OR(ISNUMBER(SEARCH("health",B283)),ISNUMBER(SEARCH("care ",B283)),ISNUMBER(SEARCH("psych",B283)),ISNUMBER(SEARCH("medical",B283)),ISNUMBER(SEARCH("hospital",B283))),"medical",
ISNUMBER(SEARCH("correct",B283)),"correctional",
ISNUMBER(SEARCH("process",B283)),"processing",
ISNUMBER(SEARCH("detention center",B283)),"detention",
ISNUMBER(SEARCH("detention fac",B283)),"detention",
ISNUMBER(SEARCH("staging",B283)),"staging",
ISNUMBER(SEARCH("prison",B283)),"prison",
ISNUMBER(SEARCH("penet",B283)),"prison",
ISNUMBER(SEARCH("jail",B283)),"jail",
ISNUMBER(SEARCH("detention",B283)),"detention",
ISNUMBER(SEARCH("sheriff",B283)),"sheriff/police",
ISNUMBER(SEARCH("police",B283)),"sheriff/police",
TRUE,""
)</f>
        <v>jail</v>
      </c>
      <c r="H283">
        <f>INDEX(Sheet2!B:B,MATCH(C283,Sheet2!A:A,0),1)</f>
        <v>352</v>
      </c>
      <c r="I283">
        <f>3-COUNTBLANK(D283:F283)</f>
        <v>3</v>
      </c>
      <c r="J283">
        <f>IF(I283&gt;=2,H283,0)</f>
        <v>352</v>
      </c>
    </row>
    <row r="284" spans="1:10" x14ac:dyDescent="0.3">
      <c r="A284" t="s">
        <v>538</v>
      </c>
      <c r="B284" t="s">
        <v>1517</v>
      </c>
      <c r="C284" t="s">
        <v>1518</v>
      </c>
      <c r="D284" t="s">
        <v>133</v>
      </c>
      <c r="F284" t="s">
        <v>1519</v>
      </c>
      <c r="G284" t="str" cm="1">
        <f t="array" ref="G284">_xlfn.IFS(
ISNUMBER(SEARCH("hold",C284)),"hold",
ISNUMBER(SEARCH("youth",C284)),"youth",
ISNUMBER(SEARCH("juve",C284)),"youth",
OR(ISNUMBER(SEARCH("health",B284)),ISNUMBER(SEARCH("care ",B284)),ISNUMBER(SEARCH("psych",B284)),ISNUMBER(SEARCH("medical",B284)),ISNUMBER(SEARCH("hospital",B284))),"medical",
ISNUMBER(SEARCH("correct",B284)),"correctional",
ISNUMBER(SEARCH("process",B284)),"processing",
ISNUMBER(SEARCH("detention center",B284)),"detention",
ISNUMBER(SEARCH("detention fac",B284)),"detention",
ISNUMBER(SEARCH("staging",B284)),"staging",
ISNUMBER(SEARCH("prison",B284)),"prison",
ISNUMBER(SEARCH("penet",B284)),"prison",
ISNUMBER(SEARCH("jail",B284)),"jail",
ISNUMBER(SEARCH("detention",B284)),"detention",
ISNUMBER(SEARCH("sheriff",B284)),"sheriff/police",
ISNUMBER(SEARCH("police",B284)),"sheriff/police",
TRUE,""
)</f>
        <v>jail</v>
      </c>
      <c r="H284">
        <f>INDEX(Sheet2!B:B,MATCH(C284,Sheet2!A:A,0),1)</f>
        <v>352</v>
      </c>
      <c r="I284">
        <f>3-COUNTBLANK(D284:F284)</f>
        <v>2</v>
      </c>
      <c r="J284">
        <f>IF(I284&gt;=2,H284,0)</f>
        <v>352</v>
      </c>
    </row>
    <row r="285" spans="1:10" x14ac:dyDescent="0.3">
      <c r="A285" t="s">
        <v>538</v>
      </c>
      <c r="B285" t="s">
        <v>1989</v>
      </c>
      <c r="C285" t="s">
        <v>1954</v>
      </c>
      <c r="D285" t="s">
        <v>82</v>
      </c>
      <c r="F285" t="s">
        <v>2268</v>
      </c>
      <c r="G285" t="str" cm="1">
        <f t="array" ref="G285">_xlfn.IFS(
ISNUMBER(SEARCH("hold",C285)),"hold",
ISNUMBER(SEARCH("youth",C285)),"youth",
ISNUMBER(SEARCH("juve",C285)),"youth",
OR(ISNUMBER(SEARCH("health",B285)),ISNUMBER(SEARCH("care ",B285)),ISNUMBER(SEARCH("psych",B285)),ISNUMBER(SEARCH("medical",B285)),ISNUMBER(SEARCH("hospital",B285))),"medical",
ISNUMBER(SEARCH("correct",B285)),"correctional",
ISNUMBER(SEARCH("process",B285)),"processing",
ISNUMBER(SEARCH("detention center",B285)),"detention",
ISNUMBER(SEARCH("detention fac",B285)),"detention",
ISNUMBER(SEARCH("staging",B285)),"staging",
ISNUMBER(SEARCH("prison",B285)),"prison",
ISNUMBER(SEARCH("penet",B285)),"prison",
ISNUMBER(SEARCH("jail",B285)),"jail",
ISNUMBER(SEARCH("detention",B285)),"detention",
ISNUMBER(SEARCH("sheriff",B285)),"sheriff/police",
ISNUMBER(SEARCH("police",B285)),"sheriff/police",
TRUE,""
)</f>
        <v>detention</v>
      </c>
      <c r="H285">
        <f>INDEX(Sheet2!B:B,MATCH(C285,Sheet2!A:A,0),1)</f>
        <v>348</v>
      </c>
      <c r="I285">
        <f>3-COUNTBLANK(D285:F285)</f>
        <v>2</v>
      </c>
      <c r="J285">
        <f>IF(I285&gt;=2,H285,0)</f>
        <v>348</v>
      </c>
    </row>
    <row r="286" spans="1:10" x14ac:dyDescent="0.3">
      <c r="A286" t="s">
        <v>1496</v>
      </c>
      <c r="B286" t="s">
        <v>165</v>
      </c>
      <c r="C286" t="s">
        <v>166</v>
      </c>
      <c r="D286" t="s">
        <v>72</v>
      </c>
      <c r="G286" t="str" cm="1">
        <f t="array" ref="G286">_xlfn.IFS(
ISNUMBER(SEARCH("hold",C286)),"hold",
ISNUMBER(SEARCH("youth",C286)),"youth",
ISNUMBER(SEARCH("juve",C286)),"youth",
OR(ISNUMBER(SEARCH("health",B286)),ISNUMBER(SEARCH("care ",B286)),ISNUMBER(SEARCH("psych",B286)),ISNUMBER(SEARCH("medical",B286)),ISNUMBER(SEARCH("hospital",B286))),"medical",
ISNUMBER(SEARCH("correct",B286)),"correctional",
ISNUMBER(SEARCH("process",B286)),"processing",
ISNUMBER(SEARCH("detention center",B286)),"detention",
ISNUMBER(SEARCH("detention fac",B286)),"detention",
ISNUMBER(SEARCH("staging",B286)),"staging",
ISNUMBER(SEARCH("prison",B286)),"prison",
ISNUMBER(SEARCH("penet",B286)),"prison",
ISNUMBER(SEARCH("jail",B286)),"jail",
ISNUMBER(SEARCH("detention",B286)),"detention",
ISNUMBER(SEARCH("sheriff",B286)),"sheriff/police",
ISNUMBER(SEARCH("police",B286)),"sheriff/police",
TRUE,""
)</f>
        <v>sheriff/police</v>
      </c>
      <c r="H286">
        <f>INDEX(Sheet2!B:B,MATCH(C286,Sheet2!A:A,0),1)</f>
        <v>1</v>
      </c>
      <c r="I286">
        <f>3-COUNTBLANK(D286:F286)</f>
        <v>1</v>
      </c>
      <c r="J286">
        <f>IF(I286&gt;=2,H286,0)</f>
        <v>0</v>
      </c>
    </row>
    <row r="287" spans="1:10" x14ac:dyDescent="0.3">
      <c r="A287" t="s">
        <v>545</v>
      </c>
      <c r="B287" t="s">
        <v>2543</v>
      </c>
      <c r="C287" t="s">
        <v>1944</v>
      </c>
      <c r="D287" t="s">
        <v>14</v>
      </c>
      <c r="F287" t="s">
        <v>1945</v>
      </c>
      <c r="G287" t="str" cm="1">
        <f t="array" ref="G287">_xlfn.IFS(
ISNUMBER(SEARCH("hold",C287)),"hold",
ISNUMBER(SEARCH("youth",C287)),"youth",
ISNUMBER(SEARCH("juve",C287)),"youth",
OR(ISNUMBER(SEARCH("health",B287)),ISNUMBER(SEARCH("care ",B287)),ISNUMBER(SEARCH("psych",B287)),ISNUMBER(SEARCH("medical",B287)),ISNUMBER(SEARCH("hospital",B287))),"medical",
ISNUMBER(SEARCH("correct",B287)),"correctional",
ISNUMBER(SEARCH("process",B287)),"processing",
ISNUMBER(SEARCH("detention center",B287)),"detention",
ISNUMBER(SEARCH("detention fac",B287)),"detention",
ISNUMBER(SEARCH("staging",B287)),"staging",
ISNUMBER(SEARCH("prison",B287)),"prison",
ISNUMBER(SEARCH("penet",B287)),"prison",
ISNUMBER(SEARCH("jail",B287)),"jail",
ISNUMBER(SEARCH("detention",B287)),"detention",
ISNUMBER(SEARCH("sheriff",B287)),"sheriff/police",
ISNUMBER(SEARCH("police",B287)),"sheriff/police",
TRUE,""
)</f>
        <v>detention</v>
      </c>
      <c r="H287">
        <f>INDEX(Sheet2!B:B,MATCH(C287,Sheet2!A:A,0),1)</f>
        <v>340</v>
      </c>
      <c r="I287">
        <f>3-COUNTBLANK(D287:F287)</f>
        <v>2</v>
      </c>
      <c r="J287">
        <f>IF(I287&gt;=2,H287,0)</f>
        <v>340</v>
      </c>
    </row>
    <row r="288" spans="1:10" x14ac:dyDescent="0.3">
      <c r="A288" t="s">
        <v>548</v>
      </c>
      <c r="B288" t="s">
        <v>123</v>
      </c>
      <c r="C288" t="s">
        <v>124</v>
      </c>
      <c r="D288" t="s">
        <v>116</v>
      </c>
      <c r="E288" t="s">
        <v>2474</v>
      </c>
      <c r="G288" t="str" cm="1">
        <f t="array" ref="G288">_xlfn.IFS(
ISNUMBER(SEARCH("hold",C288)),"hold",
ISNUMBER(SEARCH("youth",C288)),"youth",
ISNUMBER(SEARCH("juve",C288)),"youth",
OR(ISNUMBER(SEARCH("health",B288)),ISNUMBER(SEARCH("care ",B288)),ISNUMBER(SEARCH("psych",B288)),ISNUMBER(SEARCH("medical",B288)),ISNUMBER(SEARCH("hospital",B288))),"medical",
ISNUMBER(SEARCH("correct",B288)),"correctional",
ISNUMBER(SEARCH("process",B288)),"processing",
ISNUMBER(SEARCH("detention center",B288)),"detention",
ISNUMBER(SEARCH("detention fac",B288)),"detention",
ISNUMBER(SEARCH("staging",B288)),"staging",
ISNUMBER(SEARCH("prison",B288)),"prison",
ISNUMBER(SEARCH("penet",B288)),"prison",
ISNUMBER(SEARCH("jail",B288)),"jail",
ISNUMBER(SEARCH("detention",B288)),"detention",
ISNUMBER(SEARCH("sheriff",B288)),"sheriff/police",
ISNUMBER(SEARCH("police",B288)),"sheriff/police",
TRUE,""
)</f>
        <v>hold</v>
      </c>
      <c r="H288">
        <f>INDEX(Sheet2!B:B,MATCH(C288,Sheet2!A:A,0),1)</f>
        <v>339</v>
      </c>
      <c r="I288">
        <f>3-COUNTBLANK(D288:F288)</f>
        <v>2</v>
      </c>
      <c r="J288">
        <f>IF(I288&gt;=2,H288,0)</f>
        <v>339</v>
      </c>
    </row>
    <row r="289" spans="1:10" x14ac:dyDescent="0.3">
      <c r="A289" t="s">
        <v>551</v>
      </c>
      <c r="B289" t="s">
        <v>595</v>
      </c>
      <c r="C289" t="s">
        <v>596</v>
      </c>
      <c r="D289" t="s">
        <v>23</v>
      </c>
      <c r="F289" t="s">
        <v>2273</v>
      </c>
      <c r="G289" t="str" cm="1">
        <f t="array" ref="G289">_xlfn.IFS(
ISNUMBER(SEARCH("hold",C289)),"hold",
ISNUMBER(SEARCH("youth",C289)),"youth",
ISNUMBER(SEARCH("juve",C289)),"youth",
OR(ISNUMBER(SEARCH("health",B289)),ISNUMBER(SEARCH("care ",B289)),ISNUMBER(SEARCH("psych",B289)),ISNUMBER(SEARCH("medical",B289)),ISNUMBER(SEARCH("hospital",B289))),"medical",
ISNUMBER(SEARCH("correct",B289)),"correctional",
ISNUMBER(SEARCH("process",B289)),"processing",
ISNUMBER(SEARCH("detention center",B289)),"detention",
ISNUMBER(SEARCH("detention fac",B289)),"detention",
ISNUMBER(SEARCH("staging",B289)),"staging",
ISNUMBER(SEARCH("prison",B289)),"prison",
ISNUMBER(SEARCH("penet",B289)),"prison",
ISNUMBER(SEARCH("jail",B289)),"jail",
ISNUMBER(SEARCH("detention",B289)),"detention",
ISNUMBER(SEARCH("sheriff",B289)),"sheriff/police",
ISNUMBER(SEARCH("police",B289)),"sheriff/police",
TRUE,""
)</f>
        <v>detention</v>
      </c>
      <c r="H289">
        <f>INDEX(Sheet2!B:B,MATCH(C289,Sheet2!A:A,0),1)</f>
        <v>339</v>
      </c>
      <c r="I289">
        <f>3-COUNTBLANK(D289:F289)</f>
        <v>2</v>
      </c>
      <c r="J289">
        <f>IF(I289&gt;=2,H289,0)</f>
        <v>339</v>
      </c>
    </row>
    <row r="290" spans="1:10" x14ac:dyDescent="0.3">
      <c r="A290" t="s">
        <v>1669</v>
      </c>
      <c r="B290" t="s">
        <v>187</v>
      </c>
      <c r="C290" t="s">
        <v>188</v>
      </c>
      <c r="D290" t="s">
        <v>72</v>
      </c>
      <c r="E290" t="s">
        <v>2234</v>
      </c>
      <c r="F290" t="s">
        <v>2234</v>
      </c>
      <c r="G290" t="str" cm="1">
        <f t="array" ref="G290">_xlfn.IFS(
ISNUMBER(SEARCH("hold",C290)),"hold",
ISNUMBER(SEARCH("youth",C290)),"youth",
ISNUMBER(SEARCH("juve",C290)),"youth",
OR(ISNUMBER(SEARCH("health",B290)),ISNUMBER(SEARCH("care ",B290)),ISNUMBER(SEARCH("psych",B290)),ISNUMBER(SEARCH("medical",B290)),ISNUMBER(SEARCH("hospital",B290))),"medical",
ISNUMBER(SEARCH("correct",B290)),"correctional",
ISNUMBER(SEARCH("process",B290)),"processing",
ISNUMBER(SEARCH("detention center",B290)),"detention",
ISNUMBER(SEARCH("detention fac",B290)),"detention",
ISNUMBER(SEARCH("staging",B290)),"staging",
ISNUMBER(SEARCH("prison",B290)),"prison",
ISNUMBER(SEARCH("penet",B290)),"prison",
ISNUMBER(SEARCH("jail",B290)),"jail",
ISNUMBER(SEARCH("detention",B290)),"detention",
ISNUMBER(SEARCH("sheriff",B290)),"sheriff/police",
ISNUMBER(SEARCH("police",B290)),"sheriff/police",
TRUE,""
)</f>
        <v/>
      </c>
      <c r="H290">
        <f>INDEX(Sheet2!B:B,MATCH(C290,Sheet2!A:A,0),1)</f>
        <v>15792</v>
      </c>
      <c r="I290">
        <f>3-COUNTBLANK(D290:F290)</f>
        <v>3</v>
      </c>
      <c r="J290">
        <f>IF(I290&gt;=2,H290,0)</f>
        <v>15792</v>
      </c>
    </row>
    <row r="291" spans="1:10" x14ac:dyDescent="0.3">
      <c r="A291" t="s">
        <v>1984</v>
      </c>
      <c r="B291" t="s">
        <v>890</v>
      </c>
      <c r="C291" t="s">
        <v>891</v>
      </c>
      <c r="D291" t="s">
        <v>238</v>
      </c>
      <c r="F291" t="s">
        <v>892</v>
      </c>
      <c r="G291" t="str" cm="1">
        <f t="array" ref="G291">_xlfn.IFS(
ISNUMBER(SEARCH("hold",C291)),"hold",
ISNUMBER(SEARCH("youth",C291)),"youth",
ISNUMBER(SEARCH("juve",C291)),"youth",
OR(ISNUMBER(SEARCH("health",B291)),ISNUMBER(SEARCH("care ",B291)),ISNUMBER(SEARCH("psych",B291)),ISNUMBER(SEARCH("medical",B291)),ISNUMBER(SEARCH("hospital",B291))),"medical",
ISNUMBER(SEARCH("correct",B291)),"correctional",
ISNUMBER(SEARCH("process",B291)),"processing",
ISNUMBER(SEARCH("detention center",B291)),"detention",
ISNUMBER(SEARCH("detention fac",B291)),"detention",
ISNUMBER(SEARCH("staging",B291)),"staging",
ISNUMBER(SEARCH("prison",B291)),"prison",
ISNUMBER(SEARCH("penet",B291)),"prison",
ISNUMBER(SEARCH("jail",B291)),"jail",
ISNUMBER(SEARCH("detention",B291)),"detention",
ISNUMBER(SEARCH("sheriff",B291)),"sheriff/police",
ISNUMBER(SEARCH("police",B291)),"sheriff/police",
TRUE,""
)</f>
        <v>jail</v>
      </c>
      <c r="H291">
        <f>INDEX(Sheet2!B:B,MATCH(C291,Sheet2!A:A,0),1)</f>
        <v>335</v>
      </c>
      <c r="I291">
        <f>3-COUNTBLANK(D291:F291)</f>
        <v>2</v>
      </c>
      <c r="J291">
        <f>IF(I291&gt;=2,H291,0)</f>
        <v>335</v>
      </c>
    </row>
    <row r="292" spans="1:10" x14ac:dyDescent="0.3">
      <c r="A292" t="s">
        <v>558</v>
      </c>
      <c r="B292" t="s">
        <v>1174</v>
      </c>
      <c r="C292" t="s">
        <v>1175</v>
      </c>
      <c r="D292" t="s">
        <v>50</v>
      </c>
      <c r="F292" t="s">
        <v>2357</v>
      </c>
      <c r="G292" t="str" cm="1">
        <f t="array" ref="G292">_xlfn.IFS(
ISNUMBER(SEARCH("hold",C292)),"hold",
ISNUMBER(SEARCH("youth",C292)),"youth",
ISNUMBER(SEARCH("juve",C292)),"youth",
OR(ISNUMBER(SEARCH("health",B292)),ISNUMBER(SEARCH("care ",B292)),ISNUMBER(SEARCH("psych",B292)),ISNUMBER(SEARCH("medical",B292)),ISNUMBER(SEARCH("hospital",B292))),"medical",
ISNUMBER(SEARCH("correct",B292)),"correctional",
ISNUMBER(SEARCH("process",B292)),"processing",
ISNUMBER(SEARCH("detention center",B292)),"detention",
ISNUMBER(SEARCH("detention fac",B292)),"detention",
ISNUMBER(SEARCH("staging",B292)),"staging",
ISNUMBER(SEARCH("prison",B292)),"prison",
ISNUMBER(SEARCH("penet",B292)),"prison",
ISNUMBER(SEARCH("jail",B292)),"jail",
ISNUMBER(SEARCH("detention",B292)),"detention",
ISNUMBER(SEARCH("sheriff",B292)),"sheriff/police",
ISNUMBER(SEARCH("police",B292)),"sheriff/police",
TRUE,""
)</f>
        <v>jail</v>
      </c>
      <c r="H292">
        <f>INDEX(Sheet2!B:B,MATCH(C292,Sheet2!A:A,0),1)</f>
        <v>335</v>
      </c>
      <c r="I292">
        <f>3-COUNTBLANK(D292:F292)</f>
        <v>2</v>
      </c>
      <c r="J292">
        <f>IF(I292&gt;=2,H292,0)</f>
        <v>335</v>
      </c>
    </row>
    <row r="293" spans="1:10" x14ac:dyDescent="0.3">
      <c r="A293" t="s">
        <v>561</v>
      </c>
      <c r="B293" t="s">
        <v>1594</v>
      </c>
      <c r="C293" t="s">
        <v>1595</v>
      </c>
      <c r="G293" t="str" cm="1">
        <f t="array" ref="G293">_xlfn.IFS(
ISNUMBER(SEARCH("hold",C293)),"hold",
ISNUMBER(SEARCH("youth",C293)),"youth",
ISNUMBER(SEARCH("juve",C293)),"youth",
OR(ISNUMBER(SEARCH("health",B293)),ISNUMBER(SEARCH("care ",B293)),ISNUMBER(SEARCH("psych",B293)),ISNUMBER(SEARCH("medical",B293)),ISNUMBER(SEARCH("hospital",B293))),"medical",
ISNUMBER(SEARCH("correct",B293)),"correctional",
ISNUMBER(SEARCH("process",B293)),"processing",
ISNUMBER(SEARCH("detention center",B293)),"detention",
ISNUMBER(SEARCH("detention fac",B293)),"detention",
ISNUMBER(SEARCH("staging",B293)),"staging",
ISNUMBER(SEARCH("prison",B293)),"prison",
ISNUMBER(SEARCH("penet",B293)),"prison",
ISNUMBER(SEARCH("jail",B293)),"jail",
ISNUMBER(SEARCH("detention",B293)),"detention",
ISNUMBER(SEARCH("sheriff",B293)),"sheriff/police",
ISNUMBER(SEARCH("police",B293)),"sheriff/police",
TRUE,""
)</f>
        <v>processing</v>
      </c>
      <c r="H293">
        <f>INDEX(Sheet2!B:B,MATCH(C293,Sheet2!A:A,0),1)</f>
        <v>334</v>
      </c>
      <c r="I293">
        <f>3-COUNTBLANK(D293:F293)</f>
        <v>0</v>
      </c>
      <c r="J293">
        <f>IF(I293&gt;=2,H293,0)</f>
        <v>0</v>
      </c>
    </row>
    <row r="294" spans="1:10" x14ac:dyDescent="0.3">
      <c r="A294" t="s">
        <v>1986</v>
      </c>
      <c r="B294" t="s">
        <v>977</v>
      </c>
      <c r="C294" t="s">
        <v>978</v>
      </c>
      <c r="D294" t="s">
        <v>6</v>
      </c>
      <c r="F294" t="s">
        <v>2341</v>
      </c>
      <c r="G294" t="str" cm="1">
        <f t="array" ref="G294">_xlfn.IFS(
ISNUMBER(SEARCH("hold",C294)),"hold",
ISNUMBER(SEARCH("youth",C294)),"youth",
ISNUMBER(SEARCH("juve",C294)),"youth",
OR(ISNUMBER(SEARCH("health",B294)),ISNUMBER(SEARCH("care ",B294)),ISNUMBER(SEARCH("psych",B294)),ISNUMBER(SEARCH("medical",B294)),ISNUMBER(SEARCH("hospital",B294))),"medical",
ISNUMBER(SEARCH("correct",B294)),"correctional",
ISNUMBER(SEARCH("process",B294)),"processing",
ISNUMBER(SEARCH("detention center",B294)),"detention",
ISNUMBER(SEARCH("detention fac",B294)),"detention",
ISNUMBER(SEARCH("staging",B294)),"staging",
ISNUMBER(SEARCH("prison",B294)),"prison",
ISNUMBER(SEARCH("penet",B294)),"prison",
ISNUMBER(SEARCH("jail",B294)),"jail",
ISNUMBER(SEARCH("detention",B294)),"detention",
ISNUMBER(SEARCH("sheriff",B294)),"sheriff/police",
ISNUMBER(SEARCH("police",B294)),"sheriff/police",
TRUE,""
)</f>
        <v>jail</v>
      </c>
      <c r="H294">
        <f>INDEX(Sheet2!B:B,MATCH(C294,Sheet2!A:A,0),1)</f>
        <v>332</v>
      </c>
      <c r="I294">
        <f>3-COUNTBLANK(D294:F294)</f>
        <v>2</v>
      </c>
      <c r="J294">
        <f>IF(I294&gt;=2,H294,0)</f>
        <v>332</v>
      </c>
    </row>
    <row r="295" spans="1:10" x14ac:dyDescent="0.3">
      <c r="A295" t="s">
        <v>563</v>
      </c>
      <c r="B295" t="s">
        <v>383</v>
      </c>
      <c r="C295" t="s">
        <v>384</v>
      </c>
      <c r="G295" t="str" cm="1">
        <f t="array" ref="G295">_xlfn.IFS(
ISNUMBER(SEARCH("hold",C295)),"hold",
ISNUMBER(SEARCH("youth",C295)),"youth",
ISNUMBER(SEARCH("juve",C295)),"youth",
OR(ISNUMBER(SEARCH("health",B295)),ISNUMBER(SEARCH("care ",B295)),ISNUMBER(SEARCH("psych",B295)),ISNUMBER(SEARCH("medical",B295)),ISNUMBER(SEARCH("hospital",B295))),"medical",
ISNUMBER(SEARCH("correct",B295)),"correctional",
ISNUMBER(SEARCH("process",B295)),"processing",
ISNUMBER(SEARCH("detention center",B295)),"detention",
ISNUMBER(SEARCH("detention fac",B295)),"detention",
ISNUMBER(SEARCH("staging",B295)),"staging",
ISNUMBER(SEARCH("prison",B295)),"prison",
ISNUMBER(SEARCH("penet",B295)),"prison",
ISNUMBER(SEARCH("jail",B295)),"jail",
ISNUMBER(SEARCH("detention",B295)),"detention",
ISNUMBER(SEARCH("sheriff",B295)),"sheriff/police",
ISNUMBER(SEARCH("police",B295)),"sheriff/police",
TRUE,""
)</f>
        <v>hold</v>
      </c>
      <c r="H295">
        <f>INDEX(Sheet2!B:B,MATCH(C295,Sheet2!A:A,0),1)</f>
        <v>326</v>
      </c>
      <c r="I295">
        <f>3-COUNTBLANK(D295:F295)</f>
        <v>0</v>
      </c>
      <c r="J295">
        <f>IF(I295&gt;=2,H295,0)</f>
        <v>0</v>
      </c>
    </row>
    <row r="296" spans="1:10" x14ac:dyDescent="0.3">
      <c r="A296" t="s">
        <v>1988</v>
      </c>
      <c r="B296" t="s">
        <v>1381</v>
      </c>
      <c r="C296" t="s">
        <v>1382</v>
      </c>
      <c r="D296" t="s">
        <v>27</v>
      </c>
      <c r="E296" t="s">
        <v>2409</v>
      </c>
      <c r="G296" t="str" cm="1">
        <f t="array" ref="G296">_xlfn.IFS(
ISNUMBER(SEARCH("hold",C296)),"hold",
ISNUMBER(SEARCH("youth",C296)),"youth",
ISNUMBER(SEARCH("juve",C296)),"youth",
OR(ISNUMBER(SEARCH("health",B296)),ISNUMBER(SEARCH("care ",B296)),ISNUMBER(SEARCH("psych",B296)),ISNUMBER(SEARCH("medical",B296)),ISNUMBER(SEARCH("hospital",B296))),"medical",
ISNUMBER(SEARCH("correct",B296)),"correctional",
ISNUMBER(SEARCH("process",B296)),"processing",
ISNUMBER(SEARCH("detention center",B296)),"detention",
ISNUMBER(SEARCH("detention fac",B296)),"detention",
ISNUMBER(SEARCH("staging",B296)),"staging",
ISNUMBER(SEARCH("prison",B296)),"prison",
ISNUMBER(SEARCH("penet",B296)),"prison",
ISNUMBER(SEARCH("jail",B296)),"jail",
ISNUMBER(SEARCH("detention",B296)),"detention",
ISNUMBER(SEARCH("sheriff",B296)),"sheriff/police",
ISNUMBER(SEARCH("police",B296)),"sheriff/police",
TRUE,""
)</f>
        <v>hold</v>
      </c>
      <c r="H296">
        <f>INDEX(Sheet2!B:B,MATCH(C296,Sheet2!A:A,0),1)</f>
        <v>326</v>
      </c>
      <c r="I296">
        <f>3-COUNTBLANK(D296:F296)</f>
        <v>2</v>
      </c>
      <c r="J296">
        <f>IF(I296&gt;=2,H296,0)</f>
        <v>326</v>
      </c>
    </row>
    <row r="297" spans="1:10" x14ac:dyDescent="0.3">
      <c r="A297" t="s">
        <v>566</v>
      </c>
      <c r="B297" t="s">
        <v>1936</v>
      </c>
      <c r="C297" t="s">
        <v>1937</v>
      </c>
      <c r="D297" t="s">
        <v>42</v>
      </c>
      <c r="F297" t="s">
        <v>1934</v>
      </c>
      <c r="G297" t="str" cm="1">
        <f t="array" ref="G297">_xlfn.IFS(
ISNUMBER(SEARCH("hold",C297)),"hold",
ISNUMBER(SEARCH("youth",C297)),"youth",
ISNUMBER(SEARCH("juve",C297)),"youth",
OR(ISNUMBER(SEARCH("health",B297)),ISNUMBER(SEARCH("care ",B297)),ISNUMBER(SEARCH("psych",B297)),ISNUMBER(SEARCH("medical",B297)),ISNUMBER(SEARCH("hospital",B297))),"medical",
ISNUMBER(SEARCH("correct",B297)),"correctional",
ISNUMBER(SEARCH("process",B297)),"processing",
ISNUMBER(SEARCH("detention center",B297)),"detention",
ISNUMBER(SEARCH("detention fac",B297)),"detention",
ISNUMBER(SEARCH("staging",B297)),"staging",
ISNUMBER(SEARCH("prison",B297)),"prison",
ISNUMBER(SEARCH("penet",B297)),"prison",
ISNUMBER(SEARCH("jail",B297)),"jail",
ISNUMBER(SEARCH("detention",B297)),"detention",
ISNUMBER(SEARCH("sheriff",B297)),"sheriff/police",
ISNUMBER(SEARCH("police",B297)),"sheriff/police",
TRUE,""
)</f>
        <v>jail</v>
      </c>
      <c r="H297">
        <f>INDEX(Sheet2!B:B,MATCH(C297,Sheet2!A:A,0),1)</f>
        <v>322</v>
      </c>
      <c r="I297">
        <f>3-COUNTBLANK(D297:F297)</f>
        <v>2</v>
      </c>
      <c r="J297">
        <f>IF(I297&gt;=2,H297,0)</f>
        <v>322</v>
      </c>
    </row>
    <row r="298" spans="1:10" x14ac:dyDescent="0.3">
      <c r="A298" t="s">
        <v>569</v>
      </c>
      <c r="B298" t="s">
        <v>900</v>
      </c>
      <c r="C298" t="s">
        <v>901</v>
      </c>
      <c r="G298" t="str" cm="1">
        <f t="array" ref="G298">_xlfn.IFS(
ISNUMBER(SEARCH("hold",C298)),"hold",
ISNUMBER(SEARCH("youth",C298)),"youth",
ISNUMBER(SEARCH("juve",C298)),"youth",
OR(ISNUMBER(SEARCH("health",B298)),ISNUMBER(SEARCH("care ",B298)),ISNUMBER(SEARCH("psych",B298)),ISNUMBER(SEARCH("medical",B298)),ISNUMBER(SEARCH("hospital",B298))),"medical",
ISNUMBER(SEARCH("correct",B298)),"correctional",
ISNUMBER(SEARCH("process",B298)),"processing",
ISNUMBER(SEARCH("detention center",B298)),"detention",
ISNUMBER(SEARCH("detention fac",B298)),"detention",
ISNUMBER(SEARCH("staging",B298)),"staging",
ISNUMBER(SEARCH("prison",B298)),"prison",
ISNUMBER(SEARCH("penet",B298)),"prison",
ISNUMBER(SEARCH("jail",B298)),"jail",
ISNUMBER(SEARCH("detention",B298)),"detention",
ISNUMBER(SEARCH("sheriff",B298)),"sheriff/police",
ISNUMBER(SEARCH("police",B298)),"sheriff/police",
TRUE,""
)</f>
        <v>hold</v>
      </c>
      <c r="H298">
        <f>INDEX(Sheet2!B:B,MATCH(C298,Sheet2!A:A,0),1)</f>
        <v>319</v>
      </c>
      <c r="I298">
        <f>3-COUNTBLANK(D298:F298)</f>
        <v>0</v>
      </c>
      <c r="J298">
        <f>IF(I298&gt;=2,H298,0)</f>
        <v>0</v>
      </c>
    </row>
    <row r="299" spans="1:10" x14ac:dyDescent="0.3">
      <c r="A299" t="s">
        <v>572</v>
      </c>
      <c r="B299" t="s">
        <v>380</v>
      </c>
      <c r="C299" t="s">
        <v>381</v>
      </c>
      <c r="G299" t="str" cm="1">
        <f t="array" ref="G299">_xlfn.IFS(
ISNUMBER(SEARCH("hold",C299)),"hold",
ISNUMBER(SEARCH("youth",C299)),"youth",
ISNUMBER(SEARCH("juve",C299)),"youth",
OR(ISNUMBER(SEARCH("health",B299)),ISNUMBER(SEARCH("care ",B299)),ISNUMBER(SEARCH("psych",B299)),ISNUMBER(SEARCH("medical",B299)),ISNUMBER(SEARCH("hospital",B299))),"medical",
ISNUMBER(SEARCH("correct",B299)),"correctional",
ISNUMBER(SEARCH("process",B299)),"processing",
ISNUMBER(SEARCH("detention center",B299)),"detention",
ISNUMBER(SEARCH("detention fac",B299)),"detention",
ISNUMBER(SEARCH("staging",B299)),"staging",
ISNUMBER(SEARCH("prison",B299)),"prison",
ISNUMBER(SEARCH("penet",B299)),"prison",
ISNUMBER(SEARCH("jail",B299)),"jail",
ISNUMBER(SEARCH("detention",B299)),"detention",
ISNUMBER(SEARCH("sheriff",B299)),"sheriff/police",
ISNUMBER(SEARCH("police",B299)),"sheriff/police",
TRUE,""
)</f>
        <v>hold</v>
      </c>
      <c r="H299">
        <f>INDEX(Sheet2!B:B,MATCH(C299,Sheet2!A:A,0),1)</f>
        <v>314</v>
      </c>
      <c r="I299">
        <f>3-COUNTBLANK(D299:F299)</f>
        <v>0</v>
      </c>
      <c r="J299">
        <f>IF(I299&gt;=2,H299,0)</f>
        <v>0</v>
      </c>
    </row>
    <row r="300" spans="1:10" x14ac:dyDescent="0.3">
      <c r="A300" t="s">
        <v>576</v>
      </c>
      <c r="B300" t="s">
        <v>661</v>
      </c>
      <c r="C300" t="s">
        <v>662</v>
      </c>
      <c r="D300" t="s">
        <v>68</v>
      </c>
      <c r="F300" t="s">
        <v>2324</v>
      </c>
      <c r="G300" t="str" cm="1">
        <f t="array" ref="G300">_xlfn.IFS(
ISNUMBER(SEARCH("hold",C300)),"hold",
ISNUMBER(SEARCH("youth",C300)),"youth",
ISNUMBER(SEARCH("juve",C300)),"youth",
OR(ISNUMBER(SEARCH("health",B300)),ISNUMBER(SEARCH("care ",B300)),ISNUMBER(SEARCH("psych",B300)),ISNUMBER(SEARCH("medical",B300)),ISNUMBER(SEARCH("hospital",B300))),"medical",
ISNUMBER(SEARCH("correct",B300)),"correctional",
ISNUMBER(SEARCH("process",B300)),"processing",
ISNUMBER(SEARCH("detention center",B300)),"detention",
ISNUMBER(SEARCH("detention fac",B300)),"detention",
ISNUMBER(SEARCH("staging",B300)),"staging",
ISNUMBER(SEARCH("prison",B300)),"prison",
ISNUMBER(SEARCH("penet",B300)),"prison",
ISNUMBER(SEARCH("jail",B300)),"jail",
ISNUMBER(SEARCH("detention",B300)),"detention",
ISNUMBER(SEARCH("sheriff",B300)),"sheriff/police",
ISNUMBER(SEARCH("police",B300)),"sheriff/police",
TRUE,""
)</f>
        <v>jail</v>
      </c>
      <c r="H300">
        <f>INDEX(Sheet2!B:B,MATCH(C300,Sheet2!A:A,0),1)</f>
        <v>310</v>
      </c>
      <c r="I300">
        <f>3-COUNTBLANK(D300:F300)</f>
        <v>2</v>
      </c>
      <c r="J300">
        <f>IF(I300&gt;=2,H300,0)</f>
        <v>310</v>
      </c>
    </row>
    <row r="301" spans="1:10" x14ac:dyDescent="0.3">
      <c r="A301" t="s">
        <v>579</v>
      </c>
      <c r="B301" t="s">
        <v>440</v>
      </c>
      <c r="C301" t="s">
        <v>441</v>
      </c>
      <c r="D301" t="s">
        <v>6</v>
      </c>
      <c r="F301" t="s">
        <v>2250</v>
      </c>
      <c r="G301" t="str" cm="1">
        <f t="array" ref="G301">_xlfn.IFS(
ISNUMBER(SEARCH("hold",C301)),"hold",
ISNUMBER(SEARCH("youth",C301)),"youth",
ISNUMBER(SEARCH("juve",C301)),"youth",
OR(ISNUMBER(SEARCH("health",B301)),ISNUMBER(SEARCH("care ",B301)),ISNUMBER(SEARCH("psych",B301)),ISNUMBER(SEARCH("medical",B301)),ISNUMBER(SEARCH("hospital",B301))),"medical",
ISNUMBER(SEARCH("correct",B301)),"correctional",
ISNUMBER(SEARCH("process",B301)),"processing",
ISNUMBER(SEARCH("detention center",B301)),"detention",
ISNUMBER(SEARCH("detention fac",B301)),"detention",
ISNUMBER(SEARCH("staging",B301)),"staging",
ISNUMBER(SEARCH("prison",B301)),"prison",
ISNUMBER(SEARCH("penet",B301)),"prison",
ISNUMBER(SEARCH("jail",B301)),"jail",
ISNUMBER(SEARCH("detention",B301)),"detention",
ISNUMBER(SEARCH("sheriff",B301)),"sheriff/police",
ISNUMBER(SEARCH("police",B301)),"sheriff/police",
TRUE,""
)</f>
        <v>medical</v>
      </c>
      <c r="H301">
        <f>INDEX(Sheet2!B:B,MATCH(C301,Sheet2!A:A,0),1)</f>
        <v>308</v>
      </c>
      <c r="I301">
        <f>3-COUNTBLANK(D301:F301)</f>
        <v>2</v>
      </c>
      <c r="J301">
        <f>IF(I301&gt;=2,H301,0)</f>
        <v>308</v>
      </c>
    </row>
    <row r="302" spans="1:10" x14ac:dyDescent="0.3">
      <c r="A302" t="s">
        <v>582</v>
      </c>
      <c r="B302" t="s">
        <v>1242</v>
      </c>
      <c r="C302" t="s">
        <v>1243</v>
      </c>
      <c r="D302" t="s">
        <v>6</v>
      </c>
      <c r="F302" t="s">
        <v>2332</v>
      </c>
      <c r="G302" t="str" cm="1">
        <f t="array" ref="G302">_xlfn.IFS(
ISNUMBER(SEARCH("hold",C302)),"hold",
ISNUMBER(SEARCH("youth",C302)),"youth",
ISNUMBER(SEARCH("juve",C302)),"youth",
OR(ISNUMBER(SEARCH("health",B302)),ISNUMBER(SEARCH("care ",B302)),ISNUMBER(SEARCH("psych",B302)),ISNUMBER(SEARCH("medical",B302)),ISNUMBER(SEARCH("hospital",B302))),"medical",
ISNUMBER(SEARCH("correct",B302)),"correctional",
ISNUMBER(SEARCH("process",B302)),"processing",
ISNUMBER(SEARCH("detention center",B302)),"detention",
ISNUMBER(SEARCH("detention fac",B302)),"detention",
ISNUMBER(SEARCH("staging",B302)),"staging",
ISNUMBER(SEARCH("prison",B302)),"prison",
ISNUMBER(SEARCH("penet",B302)),"prison",
ISNUMBER(SEARCH("jail",B302)),"jail",
ISNUMBER(SEARCH("detention",B302)),"detention",
ISNUMBER(SEARCH("sheriff",B302)),"sheriff/police",
ISNUMBER(SEARCH("police",B302)),"sheriff/police",
TRUE,""
)</f>
        <v>jail</v>
      </c>
      <c r="H302">
        <f>INDEX(Sheet2!B:B,MATCH(C302,Sheet2!A:A,0),1)</f>
        <v>296</v>
      </c>
      <c r="I302">
        <f>3-COUNTBLANK(D302:F302)</f>
        <v>2</v>
      </c>
      <c r="J302">
        <f>IF(I302&gt;=2,H302,0)</f>
        <v>296</v>
      </c>
    </row>
    <row r="303" spans="1:10" x14ac:dyDescent="0.3">
      <c r="A303" t="s">
        <v>585</v>
      </c>
      <c r="B303" t="s">
        <v>176</v>
      </c>
      <c r="C303" t="s">
        <v>177</v>
      </c>
      <c r="D303" t="s">
        <v>72</v>
      </c>
      <c r="E303" t="s">
        <v>2234</v>
      </c>
      <c r="F303" t="s">
        <v>2234</v>
      </c>
      <c r="G303" t="str" cm="1">
        <f t="array" ref="G303">_xlfn.IFS(
ISNUMBER(SEARCH("hold",C303)),"hold",
ISNUMBER(SEARCH("youth",C303)),"youth",
ISNUMBER(SEARCH("juve",C303)),"youth",
OR(ISNUMBER(SEARCH("health",B303)),ISNUMBER(SEARCH("care ",B303)),ISNUMBER(SEARCH("psych",B303)),ISNUMBER(SEARCH("medical",B303)),ISNUMBER(SEARCH("hospital",B303))),"medical",
ISNUMBER(SEARCH("correct",B303)),"correctional",
ISNUMBER(SEARCH("process",B303)),"processing",
ISNUMBER(SEARCH("detention center",B303)),"detention",
ISNUMBER(SEARCH("detention fac",B303)),"detention",
ISNUMBER(SEARCH("staging",B303)),"staging",
ISNUMBER(SEARCH("prison",B303)),"prison",
ISNUMBER(SEARCH("penet",B303)),"prison",
ISNUMBER(SEARCH("jail",B303)),"jail",
ISNUMBER(SEARCH("detention",B303)),"detention",
ISNUMBER(SEARCH("sheriff",B303)),"sheriff/police",
ISNUMBER(SEARCH("police",B303)),"sheriff/police",
TRUE,""
)</f>
        <v>detention</v>
      </c>
      <c r="H303">
        <f>INDEX(Sheet2!B:B,MATCH(C303,Sheet2!A:A,0),1)</f>
        <v>292</v>
      </c>
      <c r="I303">
        <f>3-COUNTBLANK(D303:F303)</f>
        <v>3</v>
      </c>
      <c r="J303">
        <f>IF(I303&gt;=2,H303,0)</f>
        <v>292</v>
      </c>
    </row>
    <row r="304" spans="1:10" x14ac:dyDescent="0.3">
      <c r="A304" t="s">
        <v>588</v>
      </c>
      <c r="B304" t="s">
        <v>374</v>
      </c>
      <c r="C304" t="s">
        <v>375</v>
      </c>
      <c r="G304" t="str" cm="1">
        <f t="array" ref="G304">_xlfn.IFS(
ISNUMBER(SEARCH("hold",C304)),"hold",
ISNUMBER(SEARCH("youth",C304)),"youth",
ISNUMBER(SEARCH("juve",C304)),"youth",
OR(ISNUMBER(SEARCH("health",B304)),ISNUMBER(SEARCH("care ",B304)),ISNUMBER(SEARCH("psych",B304)),ISNUMBER(SEARCH("medical",B304)),ISNUMBER(SEARCH("hospital",B304))),"medical",
ISNUMBER(SEARCH("correct",B304)),"correctional",
ISNUMBER(SEARCH("process",B304)),"processing",
ISNUMBER(SEARCH("detention center",B304)),"detention",
ISNUMBER(SEARCH("detention fac",B304)),"detention",
ISNUMBER(SEARCH("staging",B304)),"staging",
ISNUMBER(SEARCH("prison",B304)),"prison",
ISNUMBER(SEARCH("penet",B304)),"prison",
ISNUMBER(SEARCH("jail",B304)),"jail",
ISNUMBER(SEARCH("detention",B304)),"detention",
ISNUMBER(SEARCH("sheriff",B304)),"sheriff/police",
ISNUMBER(SEARCH("police",B304)),"sheriff/police",
TRUE,""
)</f>
        <v>hold</v>
      </c>
      <c r="H304">
        <f>INDEX(Sheet2!B:B,MATCH(C304,Sheet2!A:A,0),1)</f>
        <v>289</v>
      </c>
      <c r="I304">
        <f>3-COUNTBLANK(D304:F304)</f>
        <v>0</v>
      </c>
      <c r="J304">
        <f>IF(I304&gt;=2,H304,0)</f>
        <v>0</v>
      </c>
    </row>
    <row r="305" spans="1:10" x14ac:dyDescent="0.3">
      <c r="A305" t="s">
        <v>591</v>
      </c>
      <c r="B305" t="s">
        <v>705</v>
      </c>
      <c r="C305" t="s">
        <v>706</v>
      </c>
      <c r="D305" t="s">
        <v>82</v>
      </c>
      <c r="E305" t="s">
        <v>2475</v>
      </c>
      <c r="G305" t="str" cm="1">
        <f t="array" ref="G305">_xlfn.IFS(
ISNUMBER(SEARCH("hold",C305)),"hold",
ISNUMBER(SEARCH("youth",C305)),"youth",
ISNUMBER(SEARCH("juve",C305)),"youth",
OR(ISNUMBER(SEARCH("health",B305)),ISNUMBER(SEARCH("care ",B305)),ISNUMBER(SEARCH("psych",B305)),ISNUMBER(SEARCH("medical",B305)),ISNUMBER(SEARCH("hospital",B305))),"medical",
ISNUMBER(SEARCH("correct",B305)),"correctional",
ISNUMBER(SEARCH("process",B305)),"processing",
ISNUMBER(SEARCH("detention center",B305)),"detention",
ISNUMBER(SEARCH("detention fac",B305)),"detention",
ISNUMBER(SEARCH("staging",B305)),"staging",
ISNUMBER(SEARCH("prison",B305)),"prison",
ISNUMBER(SEARCH("penet",B305)),"prison",
ISNUMBER(SEARCH("jail",B305)),"jail",
ISNUMBER(SEARCH("detention",B305)),"detention",
ISNUMBER(SEARCH("sheriff",B305)),"sheriff/police",
ISNUMBER(SEARCH("police",B305)),"sheriff/police",
TRUE,""
)</f>
        <v>hold</v>
      </c>
      <c r="H305">
        <f>INDEX(Sheet2!B:B,MATCH(C305,Sheet2!A:A,0),1)</f>
        <v>289</v>
      </c>
      <c r="I305">
        <f>3-COUNTBLANK(D305:F305)</f>
        <v>2</v>
      </c>
      <c r="J305">
        <f>IF(I305&gt;=2,H305,0)</f>
        <v>289</v>
      </c>
    </row>
    <row r="306" spans="1:10" x14ac:dyDescent="0.3">
      <c r="A306" t="s">
        <v>1737</v>
      </c>
      <c r="B306" t="s">
        <v>214</v>
      </c>
      <c r="C306" t="s">
        <v>215</v>
      </c>
      <c r="D306" t="s">
        <v>72</v>
      </c>
      <c r="E306" t="s">
        <v>2234</v>
      </c>
      <c r="G306" t="str" cm="1">
        <f t="array" ref="G306">_xlfn.IFS(
ISNUMBER(SEARCH("hold",C306)),"hold",
ISNUMBER(SEARCH("youth",C306)),"youth",
ISNUMBER(SEARCH("juve",C306)),"youth",
OR(ISNUMBER(SEARCH("health",B306)),ISNUMBER(SEARCH("care ",B306)),ISNUMBER(SEARCH("psych",B306)),ISNUMBER(SEARCH("medical",B306)),ISNUMBER(SEARCH("hospital",B306))),"medical",
ISNUMBER(SEARCH("correct",B306)),"correctional",
ISNUMBER(SEARCH("process",B306)),"processing",
ISNUMBER(SEARCH("detention center",B306)),"detention",
ISNUMBER(SEARCH("detention fac",B306)),"detention",
ISNUMBER(SEARCH("staging",B306)),"staging",
ISNUMBER(SEARCH("prison",B306)),"prison",
ISNUMBER(SEARCH("penet",B306)),"prison",
ISNUMBER(SEARCH("jail",B306)),"jail",
ISNUMBER(SEARCH("detention",B306)),"detention",
ISNUMBER(SEARCH("sheriff",B306)),"sheriff/police",
ISNUMBER(SEARCH("police",B306)),"sheriff/police",
TRUE,""
)</f>
        <v/>
      </c>
      <c r="H306">
        <f>INDEX(Sheet2!B:B,MATCH(C306,Sheet2!A:A,0),1)</f>
        <v>8302</v>
      </c>
      <c r="I306">
        <f>3-COUNTBLANK(D306:F306)</f>
        <v>2</v>
      </c>
      <c r="J306">
        <f>IF(I306&gt;=2,H306,0)</f>
        <v>8302</v>
      </c>
    </row>
    <row r="307" spans="1:10" x14ac:dyDescent="0.3">
      <c r="A307" t="s">
        <v>597</v>
      </c>
      <c r="B307" t="s">
        <v>1357</v>
      </c>
      <c r="C307" t="s">
        <v>1358</v>
      </c>
      <c r="D307" t="s">
        <v>238</v>
      </c>
      <c r="F307" t="s">
        <v>2373</v>
      </c>
      <c r="G307" t="str" cm="1">
        <f t="array" ref="G307">_xlfn.IFS(
ISNUMBER(SEARCH("hold",C307)),"hold",
ISNUMBER(SEARCH("youth",C307)),"youth",
ISNUMBER(SEARCH("juve",C307)),"youth",
OR(ISNUMBER(SEARCH("health",B307)),ISNUMBER(SEARCH("care ",B307)),ISNUMBER(SEARCH("psych",B307)),ISNUMBER(SEARCH("medical",B307)),ISNUMBER(SEARCH("hospital",B307))),"medical",
ISNUMBER(SEARCH("correct",B307)),"correctional",
ISNUMBER(SEARCH("process",B307)),"processing",
ISNUMBER(SEARCH("detention center",B307)),"detention",
ISNUMBER(SEARCH("detention fac",B307)),"detention",
ISNUMBER(SEARCH("staging",B307)),"staging",
ISNUMBER(SEARCH("prison",B307)),"prison",
ISNUMBER(SEARCH("penet",B307)),"prison",
ISNUMBER(SEARCH("jail",B307)),"jail",
ISNUMBER(SEARCH("detention",B307)),"detention",
ISNUMBER(SEARCH("sheriff",B307)),"sheriff/police",
ISNUMBER(SEARCH("police",B307)),"sheriff/police",
TRUE,""
)</f>
        <v>jail</v>
      </c>
      <c r="H307">
        <f>INDEX(Sheet2!B:B,MATCH(C307,Sheet2!A:A,0),1)</f>
        <v>276</v>
      </c>
      <c r="I307">
        <f>3-COUNTBLANK(D307:F307)</f>
        <v>2</v>
      </c>
      <c r="J307">
        <f>IF(I307&gt;=2,H307,0)</f>
        <v>276</v>
      </c>
    </row>
    <row r="308" spans="1:10" x14ac:dyDescent="0.3">
      <c r="A308" t="s">
        <v>1990</v>
      </c>
      <c r="B308" t="s">
        <v>894</v>
      </c>
      <c r="C308" t="s">
        <v>895</v>
      </c>
      <c r="D308" t="s">
        <v>99</v>
      </c>
      <c r="G308" t="str" cm="1">
        <f t="array" ref="G308">_xlfn.IFS(
ISNUMBER(SEARCH("hold",C308)),"hold",
ISNUMBER(SEARCH("youth",C308)),"youth",
ISNUMBER(SEARCH("juve",C308)),"youth",
OR(ISNUMBER(SEARCH("health",B308)),ISNUMBER(SEARCH("care ",B308)),ISNUMBER(SEARCH("psych",B308)),ISNUMBER(SEARCH("medical",B308)),ISNUMBER(SEARCH("hospital",B308))),"medical",
ISNUMBER(SEARCH("correct",B308)),"correctional",
ISNUMBER(SEARCH("process",B308)),"processing",
ISNUMBER(SEARCH("detention center",B308)),"detention",
ISNUMBER(SEARCH("detention fac",B308)),"detention",
ISNUMBER(SEARCH("staging",B308)),"staging",
ISNUMBER(SEARCH("prison",B308)),"prison",
ISNUMBER(SEARCH("penet",B308)),"prison",
ISNUMBER(SEARCH("jail",B308)),"jail",
ISNUMBER(SEARCH("detention",B308)),"detention",
ISNUMBER(SEARCH("sheriff",B308)),"sheriff/police",
ISNUMBER(SEARCH("police",B308)),"sheriff/police",
TRUE,""
)</f>
        <v>correctional</v>
      </c>
      <c r="H308">
        <f>INDEX(Sheet2!B:B,MATCH(C308,Sheet2!A:A,0),1)</f>
        <v>269</v>
      </c>
      <c r="I308">
        <f>3-COUNTBLANK(D308:F308)</f>
        <v>1</v>
      </c>
      <c r="J308">
        <f>IF(I308&gt;=2,H308,0)</f>
        <v>0</v>
      </c>
    </row>
    <row r="309" spans="1:10" x14ac:dyDescent="0.3">
      <c r="A309" t="s">
        <v>600</v>
      </c>
      <c r="B309" t="s">
        <v>1150</v>
      </c>
      <c r="C309" t="s">
        <v>1151</v>
      </c>
      <c r="G309" t="str" cm="1">
        <f t="array" ref="G309">_xlfn.IFS(
ISNUMBER(SEARCH("hold",C309)),"hold",
ISNUMBER(SEARCH("youth",C309)),"youth",
ISNUMBER(SEARCH("juve",C309)),"youth",
OR(ISNUMBER(SEARCH("health",B309)),ISNUMBER(SEARCH("care ",B309)),ISNUMBER(SEARCH("psych",B309)),ISNUMBER(SEARCH("medical",B309)),ISNUMBER(SEARCH("hospital",B309))),"medical",
ISNUMBER(SEARCH("correct",B309)),"correctional",
ISNUMBER(SEARCH("process",B309)),"processing",
ISNUMBER(SEARCH("detention center",B309)),"detention",
ISNUMBER(SEARCH("detention fac",B309)),"detention",
ISNUMBER(SEARCH("staging",B309)),"staging",
ISNUMBER(SEARCH("prison",B309)),"prison",
ISNUMBER(SEARCH("penet",B309)),"prison",
ISNUMBER(SEARCH("jail",B309)),"jail",
ISNUMBER(SEARCH("detention",B309)),"detention",
ISNUMBER(SEARCH("sheriff",B309)),"sheriff/police",
ISNUMBER(SEARCH("police",B309)),"sheriff/police",
TRUE,""
)</f>
        <v>staging</v>
      </c>
      <c r="H309">
        <f>INDEX(Sheet2!B:B,MATCH(C309,Sheet2!A:A,0),1)</f>
        <v>269</v>
      </c>
      <c r="I309">
        <f>3-COUNTBLANK(D309:F309)</f>
        <v>0</v>
      </c>
      <c r="J309">
        <f>IF(I309&gt;=2,H309,0)</f>
        <v>0</v>
      </c>
    </row>
    <row r="310" spans="1:10" x14ac:dyDescent="0.3">
      <c r="A310" t="s">
        <v>603</v>
      </c>
      <c r="B310" t="s">
        <v>637</v>
      </c>
      <c r="C310" t="s">
        <v>638</v>
      </c>
      <c r="D310" t="s">
        <v>82</v>
      </c>
      <c r="F310" t="s">
        <v>2270</v>
      </c>
      <c r="G310" t="str" cm="1">
        <f t="array" ref="G310">_xlfn.IFS(
ISNUMBER(SEARCH("hold",C310)),"hold",
ISNUMBER(SEARCH("youth",C310)),"youth",
ISNUMBER(SEARCH("juve",C310)),"youth",
OR(ISNUMBER(SEARCH("health",B310)),ISNUMBER(SEARCH("care ",B310)),ISNUMBER(SEARCH("psych",B310)),ISNUMBER(SEARCH("medical",B310)),ISNUMBER(SEARCH("hospital",B310))),"medical",
ISNUMBER(SEARCH("correct",B310)),"correctional",
ISNUMBER(SEARCH("process",B310)),"processing",
ISNUMBER(SEARCH("detention center",B310)),"detention",
ISNUMBER(SEARCH("detention fac",B310)),"detention",
ISNUMBER(SEARCH("staging",B310)),"staging",
ISNUMBER(SEARCH("prison",B310)),"prison",
ISNUMBER(SEARCH("penet",B310)),"prison",
ISNUMBER(SEARCH("jail",B310)),"jail",
ISNUMBER(SEARCH("detention",B310)),"detention",
ISNUMBER(SEARCH("sheriff",B310)),"sheriff/police",
ISNUMBER(SEARCH("police",B310)),"sheriff/police",
TRUE,""
)</f>
        <v>correctional</v>
      </c>
      <c r="H310">
        <f>INDEX(Sheet2!B:B,MATCH(C310,Sheet2!A:A,0),1)</f>
        <v>266</v>
      </c>
      <c r="I310">
        <f>3-COUNTBLANK(D310:F310)</f>
        <v>2</v>
      </c>
      <c r="J310">
        <f>IF(I310&gt;=2,H310,0)</f>
        <v>266</v>
      </c>
    </row>
    <row r="311" spans="1:10" x14ac:dyDescent="0.3">
      <c r="A311" t="s">
        <v>606</v>
      </c>
      <c r="B311" t="s">
        <v>1387</v>
      </c>
      <c r="C311" t="s">
        <v>1388</v>
      </c>
      <c r="D311" t="s">
        <v>72</v>
      </c>
      <c r="G311" t="str" cm="1">
        <f t="array" ref="G311">_xlfn.IFS(
ISNUMBER(SEARCH("hold",C311)),"hold",
ISNUMBER(SEARCH("youth",C311)),"youth",
ISNUMBER(SEARCH("juve",C311)),"youth",
OR(ISNUMBER(SEARCH("health",B311)),ISNUMBER(SEARCH("care ",B311)),ISNUMBER(SEARCH("psych",B311)),ISNUMBER(SEARCH("medical",B311)),ISNUMBER(SEARCH("hospital",B311))),"medical",
ISNUMBER(SEARCH("correct",B311)),"correctional",
ISNUMBER(SEARCH("process",B311)),"processing",
ISNUMBER(SEARCH("detention center",B311)),"detention",
ISNUMBER(SEARCH("detention fac",B311)),"detention",
ISNUMBER(SEARCH("staging",B311)),"staging",
ISNUMBER(SEARCH("prison",B311)),"prison",
ISNUMBER(SEARCH("penet",B311)),"prison",
ISNUMBER(SEARCH("jail",B311)),"jail",
ISNUMBER(SEARCH("detention",B311)),"detention",
ISNUMBER(SEARCH("sheriff",B311)),"sheriff/police",
ISNUMBER(SEARCH("police",B311)),"sheriff/police",
TRUE,""
)</f>
        <v>jail</v>
      </c>
      <c r="H311">
        <f>INDEX(Sheet2!B:B,MATCH(C311,Sheet2!A:A,0),1)</f>
        <v>260</v>
      </c>
      <c r="I311">
        <f>3-COUNTBLANK(D311:F311)</f>
        <v>1</v>
      </c>
      <c r="J311">
        <f>IF(I311&gt;=2,H311,0)</f>
        <v>0</v>
      </c>
    </row>
    <row r="312" spans="1:10" x14ac:dyDescent="0.3">
      <c r="A312" t="s">
        <v>609</v>
      </c>
      <c r="B312" t="s">
        <v>1474</v>
      </c>
      <c r="C312" t="s">
        <v>1475</v>
      </c>
      <c r="D312" t="s">
        <v>31</v>
      </c>
      <c r="G312" t="str" cm="1">
        <f t="array" ref="G312">_xlfn.IFS(
ISNUMBER(SEARCH("hold",C312)),"hold",
ISNUMBER(SEARCH("youth",C312)),"youth",
ISNUMBER(SEARCH("juve",C312)),"youth",
OR(ISNUMBER(SEARCH("health",B312)),ISNUMBER(SEARCH("care ",B312)),ISNUMBER(SEARCH("psych",B312)),ISNUMBER(SEARCH("medical",B312)),ISNUMBER(SEARCH("hospital",B312))),"medical",
ISNUMBER(SEARCH("correct",B312)),"correctional",
ISNUMBER(SEARCH("process",B312)),"processing",
ISNUMBER(SEARCH("detention center",B312)),"detention",
ISNUMBER(SEARCH("detention fac",B312)),"detention",
ISNUMBER(SEARCH("staging",B312)),"staging",
ISNUMBER(SEARCH("prison",B312)),"prison",
ISNUMBER(SEARCH("penet",B312)),"prison",
ISNUMBER(SEARCH("jail",B312)),"jail",
ISNUMBER(SEARCH("detention",B312)),"detention",
ISNUMBER(SEARCH("sheriff",B312)),"sheriff/police",
ISNUMBER(SEARCH("police",B312)),"sheriff/police",
TRUE,""
)</f>
        <v>medical</v>
      </c>
      <c r="H312">
        <f>INDEX(Sheet2!B:B,MATCH(C312,Sheet2!A:A,0),1)</f>
        <v>258</v>
      </c>
      <c r="I312">
        <f>3-COUNTBLANK(D312:F312)</f>
        <v>1</v>
      </c>
      <c r="J312">
        <f>IF(I312&gt;=2,H312,0)</f>
        <v>0</v>
      </c>
    </row>
    <row r="313" spans="1:10" x14ac:dyDescent="0.3">
      <c r="A313" t="s">
        <v>612</v>
      </c>
      <c r="B313" t="s">
        <v>748</v>
      </c>
      <c r="C313" t="s">
        <v>749</v>
      </c>
      <c r="D313" t="s">
        <v>6</v>
      </c>
      <c r="F313" t="s">
        <v>2276</v>
      </c>
      <c r="G313" t="str" cm="1">
        <f t="array" ref="G313">_xlfn.IFS(
ISNUMBER(SEARCH("hold",C313)),"hold",
ISNUMBER(SEARCH("youth",C313)),"youth",
ISNUMBER(SEARCH("juve",C313)),"youth",
OR(ISNUMBER(SEARCH("health",B313)),ISNUMBER(SEARCH("care ",B313)),ISNUMBER(SEARCH("psych",B313)),ISNUMBER(SEARCH("medical",B313)),ISNUMBER(SEARCH("hospital",B313))),"medical",
ISNUMBER(SEARCH("correct",B313)),"correctional",
ISNUMBER(SEARCH("process",B313)),"processing",
ISNUMBER(SEARCH("detention center",B313)),"detention",
ISNUMBER(SEARCH("detention fac",B313)),"detention",
ISNUMBER(SEARCH("staging",B313)),"staging",
ISNUMBER(SEARCH("prison",B313)),"prison",
ISNUMBER(SEARCH("penet",B313)),"prison",
ISNUMBER(SEARCH("jail",B313)),"jail",
ISNUMBER(SEARCH("detention",B313)),"detention",
ISNUMBER(SEARCH("sheriff",B313)),"sheriff/police",
ISNUMBER(SEARCH("police",B313)),"sheriff/police",
TRUE,""
)</f>
        <v>jail</v>
      </c>
      <c r="H313">
        <f>INDEX(Sheet2!B:B,MATCH(C313,Sheet2!A:A,0),1)</f>
        <v>254</v>
      </c>
      <c r="I313">
        <f>3-COUNTBLANK(D313:F313)</f>
        <v>2</v>
      </c>
      <c r="J313">
        <f>IF(I313&gt;=2,H313,0)</f>
        <v>254</v>
      </c>
    </row>
    <row r="314" spans="1:10" x14ac:dyDescent="0.3">
      <c r="A314" t="s">
        <v>615</v>
      </c>
      <c r="B314" t="s">
        <v>1132</v>
      </c>
      <c r="C314" t="s">
        <v>1133</v>
      </c>
      <c r="D314" t="s">
        <v>141</v>
      </c>
      <c r="E314" t="s">
        <v>2476</v>
      </c>
      <c r="G314" t="str" cm="1">
        <f t="array" ref="G314">_xlfn.IFS(
ISNUMBER(SEARCH("hold",C314)),"hold",
ISNUMBER(SEARCH("youth",C314)),"youth",
ISNUMBER(SEARCH("juve",C314)),"youth",
OR(ISNUMBER(SEARCH("health",B314)),ISNUMBER(SEARCH("care ",B314)),ISNUMBER(SEARCH("psych",B314)),ISNUMBER(SEARCH("medical",B314)),ISNUMBER(SEARCH("hospital",B314))),"medical",
ISNUMBER(SEARCH("correct",B314)),"correctional",
ISNUMBER(SEARCH("process",B314)),"processing",
ISNUMBER(SEARCH("detention center",B314)),"detention",
ISNUMBER(SEARCH("detention fac",B314)),"detention",
ISNUMBER(SEARCH("staging",B314)),"staging",
ISNUMBER(SEARCH("prison",B314)),"prison",
ISNUMBER(SEARCH("penet",B314)),"prison",
ISNUMBER(SEARCH("jail",B314)),"jail",
ISNUMBER(SEARCH("detention",B314)),"detention",
ISNUMBER(SEARCH("sheriff",B314)),"sheriff/police",
ISNUMBER(SEARCH("police",B314)),"sheriff/police",
TRUE,""
)</f>
        <v>hold</v>
      </c>
      <c r="H314">
        <f>INDEX(Sheet2!B:B,MATCH(C314,Sheet2!A:A,0),1)</f>
        <v>253</v>
      </c>
      <c r="I314">
        <f>3-COUNTBLANK(D314:F314)</f>
        <v>2</v>
      </c>
      <c r="J314">
        <f>IF(I314&gt;=2,H314,0)</f>
        <v>253</v>
      </c>
    </row>
    <row r="315" spans="1:10" x14ac:dyDescent="0.3">
      <c r="A315" t="s">
        <v>618</v>
      </c>
      <c r="B315" t="s">
        <v>811</v>
      </c>
      <c r="C315" t="s">
        <v>812</v>
      </c>
      <c r="D315" t="s">
        <v>72</v>
      </c>
      <c r="G315" t="str" cm="1">
        <f t="array" ref="G315">_xlfn.IFS(
ISNUMBER(SEARCH("hold",C315)),"hold",
ISNUMBER(SEARCH("youth",C315)),"youth",
ISNUMBER(SEARCH("juve",C315)),"youth",
OR(ISNUMBER(SEARCH("health",B315)),ISNUMBER(SEARCH("care ",B315)),ISNUMBER(SEARCH("psych",B315)),ISNUMBER(SEARCH("medical",B315)),ISNUMBER(SEARCH("hospital",B315))),"medical",
ISNUMBER(SEARCH("correct",B315)),"correctional",
ISNUMBER(SEARCH("process",B315)),"processing",
ISNUMBER(SEARCH("detention center",B315)),"detention",
ISNUMBER(SEARCH("detention fac",B315)),"detention",
ISNUMBER(SEARCH("staging",B315)),"staging",
ISNUMBER(SEARCH("prison",B315)),"prison",
ISNUMBER(SEARCH("penet",B315)),"prison",
ISNUMBER(SEARCH("jail",B315)),"jail",
ISNUMBER(SEARCH("detention",B315)),"detention",
ISNUMBER(SEARCH("sheriff",B315)),"sheriff/police",
ISNUMBER(SEARCH("police",B315)),"sheriff/police",
TRUE,""
)</f>
        <v>detention</v>
      </c>
      <c r="H315">
        <f>INDEX(Sheet2!B:B,MATCH(C315,Sheet2!A:A,0),1)</f>
        <v>252</v>
      </c>
      <c r="I315">
        <f>3-COUNTBLANK(D315:F315)</f>
        <v>1</v>
      </c>
      <c r="J315">
        <f>IF(I315&gt;=2,H315,0)</f>
        <v>0</v>
      </c>
    </row>
    <row r="316" spans="1:10" x14ac:dyDescent="0.3">
      <c r="A316" t="s">
        <v>621</v>
      </c>
      <c r="B316" t="s">
        <v>667</v>
      </c>
      <c r="C316" t="s">
        <v>668</v>
      </c>
      <c r="D316" t="s">
        <v>88</v>
      </c>
      <c r="F316" t="s">
        <v>2272</v>
      </c>
      <c r="G316" t="str" cm="1">
        <f t="array" ref="G316">_xlfn.IFS(
ISNUMBER(SEARCH("hold",C316)),"hold",
ISNUMBER(SEARCH("youth",C316)),"youth",
ISNUMBER(SEARCH("juve",C316)),"youth",
OR(ISNUMBER(SEARCH("health",B316)),ISNUMBER(SEARCH("care ",B316)),ISNUMBER(SEARCH("psych",B316)),ISNUMBER(SEARCH("medical",B316)),ISNUMBER(SEARCH("hospital",B316))),"medical",
ISNUMBER(SEARCH("correct",B316)),"correctional",
ISNUMBER(SEARCH("process",B316)),"processing",
ISNUMBER(SEARCH("detention center",B316)),"detention",
ISNUMBER(SEARCH("detention fac",B316)),"detention",
ISNUMBER(SEARCH("staging",B316)),"staging",
ISNUMBER(SEARCH("prison",B316)),"prison",
ISNUMBER(SEARCH("penet",B316)),"prison",
ISNUMBER(SEARCH("jail",B316)),"jail",
ISNUMBER(SEARCH("detention",B316)),"detention",
ISNUMBER(SEARCH("sheriff",B316)),"sheriff/police",
ISNUMBER(SEARCH("police",B316)),"sheriff/police",
TRUE,""
)</f>
        <v>jail</v>
      </c>
      <c r="H316">
        <f>INDEX(Sheet2!B:B,MATCH(C316,Sheet2!A:A,0),1)</f>
        <v>252</v>
      </c>
      <c r="I316">
        <f>3-COUNTBLANK(D316:F316)</f>
        <v>2</v>
      </c>
      <c r="J316">
        <f>IF(I316&gt;=2,H316,0)</f>
        <v>252</v>
      </c>
    </row>
    <row r="317" spans="1:10" x14ac:dyDescent="0.3">
      <c r="A317" t="s">
        <v>1427</v>
      </c>
      <c r="B317" t="s">
        <v>1862</v>
      </c>
      <c r="C317" t="s">
        <v>1863</v>
      </c>
      <c r="D317" t="s">
        <v>6</v>
      </c>
      <c r="E317" t="s">
        <v>2424</v>
      </c>
      <c r="G317" t="str" cm="1">
        <f t="array" ref="G317">_xlfn.IFS(
ISNUMBER(SEARCH("hold",C317)),"hold",
ISNUMBER(SEARCH("youth",C317)),"youth",
ISNUMBER(SEARCH("juve",C317)),"youth",
OR(ISNUMBER(SEARCH("health",B317)),ISNUMBER(SEARCH("care ",B317)),ISNUMBER(SEARCH("psych",B317)),ISNUMBER(SEARCH("medical",B317)),ISNUMBER(SEARCH("hospital",B317))),"medical",
ISNUMBER(SEARCH("correct",B317)),"correctional",
ISNUMBER(SEARCH("process",B317)),"processing",
ISNUMBER(SEARCH("detention center",B317)),"detention",
ISNUMBER(SEARCH("detention fac",B317)),"detention",
ISNUMBER(SEARCH("staging",B317)),"staging",
ISNUMBER(SEARCH("prison",B317)),"prison",
ISNUMBER(SEARCH("penet",B317)),"prison",
ISNUMBER(SEARCH("jail",B317)),"jail",
ISNUMBER(SEARCH("detention",B317)),"detention",
ISNUMBER(SEARCH("sheriff",B317)),"sheriff/police",
ISNUMBER(SEARCH("police",B317)),"sheriff/police",
TRUE,""
)</f>
        <v/>
      </c>
      <c r="H317">
        <f>INDEX(Sheet2!B:B,MATCH(C317,Sheet2!A:A,0),1)</f>
        <v>1</v>
      </c>
      <c r="I317">
        <f>3-COUNTBLANK(D317:F317)</f>
        <v>2</v>
      </c>
      <c r="J317">
        <f>IF(I317&gt;=2,H317,0)</f>
        <v>1</v>
      </c>
    </row>
    <row r="318" spans="1:10" x14ac:dyDescent="0.3">
      <c r="A318" t="s">
        <v>627</v>
      </c>
      <c r="B318" t="s">
        <v>1086</v>
      </c>
      <c r="C318" t="s">
        <v>1087</v>
      </c>
      <c r="G318" t="str" cm="1">
        <f t="array" ref="G318">_xlfn.IFS(
ISNUMBER(SEARCH("hold",C318)),"hold",
ISNUMBER(SEARCH("youth",C318)),"youth",
ISNUMBER(SEARCH("juve",C318)),"youth",
OR(ISNUMBER(SEARCH("health",B318)),ISNUMBER(SEARCH("care ",B318)),ISNUMBER(SEARCH("psych",B318)),ISNUMBER(SEARCH("medical",B318)),ISNUMBER(SEARCH("hospital",B318))),"medical",
ISNUMBER(SEARCH("correct",B318)),"correctional",
ISNUMBER(SEARCH("process",B318)),"processing",
ISNUMBER(SEARCH("detention center",B318)),"detention",
ISNUMBER(SEARCH("detention fac",B318)),"detention",
ISNUMBER(SEARCH("staging",B318)),"staging",
ISNUMBER(SEARCH("prison",B318)),"prison",
ISNUMBER(SEARCH("penet",B318)),"prison",
ISNUMBER(SEARCH("jail",B318)),"jail",
ISNUMBER(SEARCH("detention",B318)),"detention",
ISNUMBER(SEARCH("sheriff",B318)),"sheriff/police",
ISNUMBER(SEARCH("police",B318)),"sheriff/police",
TRUE,""
)</f>
        <v>hold</v>
      </c>
      <c r="H318">
        <f>INDEX(Sheet2!B:B,MATCH(C318,Sheet2!A:A,0),1)</f>
        <v>249</v>
      </c>
      <c r="I318">
        <f>3-COUNTBLANK(D318:F318)</f>
        <v>0</v>
      </c>
      <c r="J318">
        <f>IF(I318&gt;=2,H318,0)</f>
        <v>0</v>
      </c>
    </row>
    <row r="319" spans="1:10" x14ac:dyDescent="0.3">
      <c r="A319" t="s">
        <v>630</v>
      </c>
      <c r="B319" t="s">
        <v>334</v>
      </c>
      <c r="C319" t="s">
        <v>335</v>
      </c>
      <c r="D319" t="s">
        <v>6</v>
      </c>
      <c r="G319" t="str" cm="1">
        <f t="array" ref="G319">_xlfn.IFS(
ISNUMBER(SEARCH("hold",C319)),"hold",
ISNUMBER(SEARCH("youth",C319)),"youth",
ISNUMBER(SEARCH("juve",C319)),"youth",
OR(ISNUMBER(SEARCH("health",B319)),ISNUMBER(SEARCH("care ",B319)),ISNUMBER(SEARCH("psych",B319)),ISNUMBER(SEARCH("medical",B319)),ISNUMBER(SEARCH("hospital",B319))),"medical",
ISNUMBER(SEARCH("correct",B319)),"correctional",
ISNUMBER(SEARCH("process",B319)),"processing",
ISNUMBER(SEARCH("detention center",B319)),"detention",
ISNUMBER(SEARCH("detention fac",B319)),"detention",
ISNUMBER(SEARCH("staging",B319)),"staging",
ISNUMBER(SEARCH("prison",B319)),"prison",
ISNUMBER(SEARCH("penet",B319)),"prison",
ISNUMBER(SEARCH("jail",B319)),"jail",
ISNUMBER(SEARCH("detention",B319)),"detention",
ISNUMBER(SEARCH("sheriff",B319)),"sheriff/police",
ISNUMBER(SEARCH("police",B319)),"sheriff/police",
TRUE,""
)</f>
        <v>medical</v>
      </c>
      <c r="H319">
        <f>INDEX(Sheet2!B:B,MATCH(C319,Sheet2!A:A,0),1)</f>
        <v>238</v>
      </c>
      <c r="I319">
        <f>3-COUNTBLANK(D319:F319)</f>
        <v>1</v>
      </c>
      <c r="J319">
        <f>IF(I319&gt;=2,H319,0)</f>
        <v>0</v>
      </c>
    </row>
    <row r="320" spans="1:10" x14ac:dyDescent="0.3">
      <c r="A320" t="s">
        <v>633</v>
      </c>
      <c r="B320" t="s">
        <v>1157</v>
      </c>
      <c r="C320" t="s">
        <v>1158</v>
      </c>
      <c r="D320" t="s">
        <v>50</v>
      </c>
      <c r="G320" t="str" cm="1">
        <f t="array" ref="G320">_xlfn.IFS(
ISNUMBER(SEARCH("hold",C320)),"hold",
ISNUMBER(SEARCH("youth",C320)),"youth",
ISNUMBER(SEARCH("juve",C320)),"youth",
OR(ISNUMBER(SEARCH("health",B320)),ISNUMBER(SEARCH("care ",B320)),ISNUMBER(SEARCH("psych",B320)),ISNUMBER(SEARCH("medical",B320)),ISNUMBER(SEARCH("hospital",B320))),"medical",
ISNUMBER(SEARCH("correct",B320)),"correctional",
ISNUMBER(SEARCH("process",B320)),"processing",
ISNUMBER(SEARCH("detention center",B320)),"detention",
ISNUMBER(SEARCH("detention fac",B320)),"detention",
ISNUMBER(SEARCH("staging",B320)),"staging",
ISNUMBER(SEARCH("prison",B320)),"prison",
ISNUMBER(SEARCH("penet",B320)),"prison",
ISNUMBER(SEARCH("jail",B320)),"jail",
ISNUMBER(SEARCH("detention",B320)),"detention",
ISNUMBER(SEARCH("sheriff",B320)),"sheriff/police",
ISNUMBER(SEARCH("police",B320)),"sheriff/police",
TRUE,""
)</f>
        <v>jail</v>
      </c>
      <c r="H320">
        <f>INDEX(Sheet2!B:B,MATCH(C320,Sheet2!A:A,0),1)</f>
        <v>238</v>
      </c>
      <c r="I320">
        <f>3-COUNTBLANK(D320:F320)</f>
        <v>1</v>
      </c>
      <c r="J320">
        <f>IF(I320&gt;=2,H320,0)</f>
        <v>0</v>
      </c>
    </row>
    <row r="321" spans="1:10" x14ac:dyDescent="0.3">
      <c r="A321" t="s">
        <v>636</v>
      </c>
      <c r="B321" t="s">
        <v>1506</v>
      </c>
      <c r="C321" t="s">
        <v>1509</v>
      </c>
      <c r="D321" t="s">
        <v>87</v>
      </c>
      <c r="F321" t="s">
        <v>226</v>
      </c>
      <c r="G321" t="str" cm="1">
        <f t="array" ref="G321">_xlfn.IFS(
ISNUMBER(SEARCH("hold",C321)),"hold",
ISNUMBER(SEARCH("youth",C321)),"youth",
ISNUMBER(SEARCH("juve",C321)),"youth",
OR(ISNUMBER(SEARCH("health",B321)),ISNUMBER(SEARCH("care ",B321)),ISNUMBER(SEARCH("psych",B321)),ISNUMBER(SEARCH("medical",B321)),ISNUMBER(SEARCH("hospital",B321))),"medical",
ISNUMBER(SEARCH("correct",B321)),"correctional",
ISNUMBER(SEARCH("process",B321)),"processing",
ISNUMBER(SEARCH("detention center",B321)),"detention",
ISNUMBER(SEARCH("detention fac",B321)),"detention",
ISNUMBER(SEARCH("staging",B321)),"staging",
ISNUMBER(SEARCH("prison",B321)),"prison",
ISNUMBER(SEARCH("penet",B321)),"prison",
ISNUMBER(SEARCH("jail",B321)),"jail",
ISNUMBER(SEARCH("detention",B321)),"detention",
ISNUMBER(SEARCH("sheriff",B321)),"sheriff/police",
ISNUMBER(SEARCH("police",B321)),"sheriff/police",
TRUE,""
)</f>
        <v>jail</v>
      </c>
      <c r="H321">
        <f>INDEX(Sheet2!B:B,MATCH(C321,Sheet2!A:A,0),1)</f>
        <v>233</v>
      </c>
      <c r="I321">
        <f>3-COUNTBLANK(D321:F321)</f>
        <v>2</v>
      </c>
      <c r="J321">
        <f>IF(I321&gt;=2,H321,0)</f>
        <v>233</v>
      </c>
    </row>
    <row r="322" spans="1:10" x14ac:dyDescent="0.3">
      <c r="A322" t="s">
        <v>639</v>
      </c>
      <c r="B322" t="s">
        <v>1977</v>
      </c>
      <c r="C322" t="s">
        <v>1951</v>
      </c>
      <c r="D322" t="s">
        <v>88</v>
      </c>
      <c r="F322" t="s">
        <v>2237</v>
      </c>
      <c r="G322" t="str" cm="1">
        <f t="array" ref="G322">_xlfn.IFS(
ISNUMBER(SEARCH("hold",C322)),"hold",
ISNUMBER(SEARCH("youth",C322)),"youth",
ISNUMBER(SEARCH("juve",C322)),"youth",
OR(ISNUMBER(SEARCH("health",B322)),ISNUMBER(SEARCH("care ",B322)),ISNUMBER(SEARCH("psych",B322)),ISNUMBER(SEARCH("medical",B322)),ISNUMBER(SEARCH("hospital",B322))),"medical",
ISNUMBER(SEARCH("correct",B322)),"correctional",
ISNUMBER(SEARCH("process",B322)),"processing",
ISNUMBER(SEARCH("detention center",B322)),"detention",
ISNUMBER(SEARCH("detention fac",B322)),"detention",
ISNUMBER(SEARCH("staging",B322)),"staging",
ISNUMBER(SEARCH("prison",B322)),"prison",
ISNUMBER(SEARCH("penet",B322)),"prison",
ISNUMBER(SEARCH("jail",B322)),"jail",
ISNUMBER(SEARCH("detention",B322)),"detention",
ISNUMBER(SEARCH("sheriff",B322)),"sheriff/police",
ISNUMBER(SEARCH("police",B322)),"sheriff/police",
TRUE,""
)</f>
        <v>jail</v>
      </c>
      <c r="H322">
        <f>INDEX(Sheet2!B:B,MATCH(C322,Sheet2!A:A,0),1)</f>
        <v>231</v>
      </c>
      <c r="I322">
        <f>3-COUNTBLANK(D322:F322)</f>
        <v>1</v>
      </c>
      <c r="J322">
        <f>IF(I322&gt;=2,H322,0)</f>
        <v>0</v>
      </c>
    </row>
    <row r="323" spans="1:10" x14ac:dyDescent="0.3">
      <c r="A323" t="s">
        <v>641</v>
      </c>
      <c r="B323" t="s">
        <v>1750</v>
      </c>
      <c r="C323" t="s">
        <v>1751</v>
      </c>
      <c r="D323" t="s">
        <v>42</v>
      </c>
      <c r="F323" t="s">
        <v>2284</v>
      </c>
      <c r="G323" t="str" cm="1">
        <f t="array" ref="G323">_xlfn.IFS(
ISNUMBER(SEARCH("hold",C323)),"hold",
ISNUMBER(SEARCH("youth",C323)),"youth",
ISNUMBER(SEARCH("juve",C323)),"youth",
OR(ISNUMBER(SEARCH("health",B323)),ISNUMBER(SEARCH("care ",B323)),ISNUMBER(SEARCH("psych",B323)),ISNUMBER(SEARCH("medical",B323)),ISNUMBER(SEARCH("hospital",B323))),"medical",
ISNUMBER(SEARCH("correct",B323)),"correctional",
ISNUMBER(SEARCH("process",B323)),"processing",
ISNUMBER(SEARCH("detention center",B323)),"detention",
ISNUMBER(SEARCH("detention fac",B323)),"detention",
ISNUMBER(SEARCH("staging",B323)),"staging",
ISNUMBER(SEARCH("prison",B323)),"prison",
ISNUMBER(SEARCH("penet",B323)),"prison",
ISNUMBER(SEARCH("jail",B323)),"jail",
ISNUMBER(SEARCH("detention",B323)),"detention",
ISNUMBER(SEARCH("sheriff",B323)),"sheriff/police",
ISNUMBER(SEARCH("police",B323)),"sheriff/police",
TRUE,""
)</f>
        <v>jail</v>
      </c>
      <c r="H323">
        <f>INDEX(Sheet2!B:B,MATCH(C323,Sheet2!A:A,0),1)</f>
        <v>231</v>
      </c>
      <c r="I323">
        <f>3-COUNTBLANK(D323:F323)</f>
        <v>2</v>
      </c>
      <c r="J323">
        <f>IF(I323&gt;=2,H323,0)</f>
        <v>231</v>
      </c>
    </row>
    <row r="324" spans="1:10" x14ac:dyDescent="0.3">
      <c r="A324" t="s">
        <v>644</v>
      </c>
      <c r="B324" t="s">
        <v>731</v>
      </c>
      <c r="C324" t="s">
        <v>732</v>
      </c>
      <c r="G324" t="str" cm="1">
        <f t="array" ref="G324">_xlfn.IFS(
ISNUMBER(SEARCH("hold",C324)),"hold",
ISNUMBER(SEARCH("youth",C324)),"youth",
ISNUMBER(SEARCH("juve",C324)),"youth",
OR(ISNUMBER(SEARCH("health",B324)),ISNUMBER(SEARCH("care ",B324)),ISNUMBER(SEARCH("psych",B324)),ISNUMBER(SEARCH("medical",B324)),ISNUMBER(SEARCH("hospital",B324))),"medical",
ISNUMBER(SEARCH("correct",B324)),"correctional",
ISNUMBER(SEARCH("process",B324)),"processing",
ISNUMBER(SEARCH("detention center",B324)),"detention",
ISNUMBER(SEARCH("detention fac",B324)),"detention",
ISNUMBER(SEARCH("staging",B324)),"staging",
ISNUMBER(SEARCH("prison",B324)),"prison",
ISNUMBER(SEARCH("penet",B324)),"prison",
ISNUMBER(SEARCH("jail",B324)),"jail",
ISNUMBER(SEARCH("detention",B324)),"detention",
ISNUMBER(SEARCH("sheriff",B324)),"sheriff/police",
ISNUMBER(SEARCH("police",B324)),"sheriff/police",
TRUE,""
)</f>
        <v>hold</v>
      </c>
      <c r="H324">
        <f>INDEX(Sheet2!B:B,MATCH(C324,Sheet2!A:A,0),1)</f>
        <v>226</v>
      </c>
      <c r="I324">
        <f>3-COUNTBLANK(D324:F324)</f>
        <v>0</v>
      </c>
      <c r="J324">
        <f>IF(I324&gt;=2,H324,0)</f>
        <v>0</v>
      </c>
    </row>
    <row r="325" spans="1:10" x14ac:dyDescent="0.3">
      <c r="A325" t="s">
        <v>647</v>
      </c>
      <c r="B325" t="s">
        <v>1765</v>
      </c>
      <c r="C325" t="s">
        <v>1766</v>
      </c>
      <c r="D325" t="s">
        <v>42</v>
      </c>
      <c r="E325" t="s">
        <v>2405</v>
      </c>
      <c r="G325" t="str" cm="1">
        <f t="array" ref="G325">_xlfn.IFS(
ISNUMBER(SEARCH("hold",C325)),"hold",
ISNUMBER(SEARCH("youth",C325)),"youth",
ISNUMBER(SEARCH("juve",C325)),"youth",
OR(ISNUMBER(SEARCH("health",B325)),ISNUMBER(SEARCH("care ",B325)),ISNUMBER(SEARCH("psych",B325)),ISNUMBER(SEARCH("medical",B325)),ISNUMBER(SEARCH("hospital",B325))),"medical",
ISNUMBER(SEARCH("correct",B325)),"correctional",
ISNUMBER(SEARCH("process",B325)),"processing",
ISNUMBER(SEARCH("detention center",B325)),"detention",
ISNUMBER(SEARCH("detention fac",B325)),"detention",
ISNUMBER(SEARCH("staging",B325)),"staging",
ISNUMBER(SEARCH("prison",B325)),"prison",
ISNUMBER(SEARCH("penet",B325)),"prison",
ISNUMBER(SEARCH("jail",B325)),"jail",
ISNUMBER(SEARCH("detention",B325)),"detention",
ISNUMBER(SEARCH("sheriff",B325)),"sheriff/police",
ISNUMBER(SEARCH("police",B325)),"sheriff/police",
TRUE,""
)</f>
        <v>hold</v>
      </c>
      <c r="H325">
        <f>INDEX(Sheet2!B:B,MATCH(C325,Sheet2!A:A,0),1)</f>
        <v>225</v>
      </c>
      <c r="I325">
        <f>3-COUNTBLANK(D325:F325)</f>
        <v>2</v>
      </c>
      <c r="J325">
        <f>IF(I325&gt;=2,H325,0)</f>
        <v>225</v>
      </c>
    </row>
    <row r="326" spans="1:10" x14ac:dyDescent="0.3">
      <c r="A326" t="s">
        <v>651</v>
      </c>
      <c r="B326" t="s">
        <v>1815</v>
      </c>
      <c r="C326" t="s">
        <v>1816</v>
      </c>
      <c r="G326" t="str" cm="1">
        <f t="array" ref="G326">_xlfn.IFS(
ISNUMBER(SEARCH("hold",C326)),"hold",
ISNUMBER(SEARCH("youth",C326)),"youth",
ISNUMBER(SEARCH("juve",C326)),"youth",
OR(ISNUMBER(SEARCH("health",B326)),ISNUMBER(SEARCH("care ",B326)),ISNUMBER(SEARCH("psych",B326)),ISNUMBER(SEARCH("medical",B326)),ISNUMBER(SEARCH("hospital",B326))),"medical",
ISNUMBER(SEARCH("correct",B326)),"correctional",
ISNUMBER(SEARCH("process",B326)),"processing",
ISNUMBER(SEARCH("detention center",B326)),"detention",
ISNUMBER(SEARCH("detention fac",B326)),"detention",
ISNUMBER(SEARCH("staging",B326)),"staging",
ISNUMBER(SEARCH("prison",B326)),"prison",
ISNUMBER(SEARCH("penet",B326)),"prison",
ISNUMBER(SEARCH("jail",B326)),"jail",
ISNUMBER(SEARCH("detention",B326)),"detention",
ISNUMBER(SEARCH("sheriff",B326)),"sheriff/police",
ISNUMBER(SEARCH("police",B326)),"sheriff/police",
TRUE,""
)</f>
        <v>hold</v>
      </c>
      <c r="H326">
        <f>INDEX(Sheet2!B:B,MATCH(C326,Sheet2!A:A,0),1)</f>
        <v>225</v>
      </c>
      <c r="I326">
        <f>3-COUNTBLANK(D326:F326)</f>
        <v>0</v>
      </c>
      <c r="J326">
        <f>IF(I326&gt;=2,H326,0)</f>
        <v>0</v>
      </c>
    </row>
    <row r="327" spans="1:10" x14ac:dyDescent="0.3">
      <c r="A327" t="s">
        <v>654</v>
      </c>
      <c r="B327" t="s">
        <v>157</v>
      </c>
      <c r="C327" t="s">
        <v>158</v>
      </c>
      <c r="G327" t="str" cm="1">
        <f t="array" ref="G327">_xlfn.IFS(
ISNUMBER(SEARCH("hold",C327)),"hold",
ISNUMBER(SEARCH("youth",C327)),"youth",
ISNUMBER(SEARCH("juve",C327)),"youth",
OR(ISNUMBER(SEARCH("health",B327)),ISNUMBER(SEARCH("care ",B327)),ISNUMBER(SEARCH("psych",B327)),ISNUMBER(SEARCH("medical",B327)),ISNUMBER(SEARCH("hospital",B327))),"medical",
ISNUMBER(SEARCH("correct",B327)),"correctional",
ISNUMBER(SEARCH("process",B327)),"processing",
ISNUMBER(SEARCH("detention center",B327)),"detention",
ISNUMBER(SEARCH("detention fac",B327)),"detention",
ISNUMBER(SEARCH("staging",B327)),"staging",
ISNUMBER(SEARCH("prison",B327)),"prison",
ISNUMBER(SEARCH("penet",B327)),"prison",
ISNUMBER(SEARCH("jail",B327)),"jail",
ISNUMBER(SEARCH("detention",B327)),"detention",
ISNUMBER(SEARCH("sheriff",B327)),"sheriff/police",
ISNUMBER(SEARCH("police",B327)),"sheriff/police",
TRUE,""
)</f>
        <v>jail</v>
      </c>
      <c r="H327">
        <f>INDEX(Sheet2!B:B,MATCH(C327,Sheet2!A:A,0),1)</f>
        <v>223</v>
      </c>
      <c r="I327">
        <f>3-COUNTBLANK(D327:F327)</f>
        <v>0</v>
      </c>
      <c r="J327">
        <f>IF(I327&gt;=2,H327,0)</f>
        <v>0</v>
      </c>
    </row>
    <row r="328" spans="1:10" x14ac:dyDescent="0.3">
      <c r="A328" t="s">
        <v>1776</v>
      </c>
      <c r="B328" t="s">
        <v>283</v>
      </c>
      <c r="C328" t="s">
        <v>284</v>
      </c>
      <c r="D328" t="s">
        <v>6</v>
      </c>
      <c r="E328" t="s">
        <v>2432</v>
      </c>
      <c r="G328" t="str" cm="1">
        <f t="array" ref="G328">_xlfn.IFS(
ISNUMBER(SEARCH("hold",C328)),"hold",
ISNUMBER(SEARCH("youth",C328)),"youth",
ISNUMBER(SEARCH("juve",C328)),"youth",
OR(ISNUMBER(SEARCH("health",B328)),ISNUMBER(SEARCH("care ",B328)),ISNUMBER(SEARCH("psych",B328)),ISNUMBER(SEARCH("medical",B328)),ISNUMBER(SEARCH("hospital",B328))),"medical",
ISNUMBER(SEARCH("correct",B328)),"correctional",
ISNUMBER(SEARCH("process",B328)),"processing",
ISNUMBER(SEARCH("detention center",B328)),"detention",
ISNUMBER(SEARCH("detention fac",B328)),"detention",
ISNUMBER(SEARCH("staging",B328)),"staging",
ISNUMBER(SEARCH("prison",B328)),"prison",
ISNUMBER(SEARCH("penet",B328)),"prison",
ISNUMBER(SEARCH("jail",B328)),"jail",
ISNUMBER(SEARCH("detention",B328)),"detention",
ISNUMBER(SEARCH("sheriff",B328)),"sheriff/police",
ISNUMBER(SEARCH("police",B328)),"sheriff/police",
TRUE,""
)</f>
        <v/>
      </c>
      <c r="H328">
        <f>INDEX(Sheet2!B:B,MATCH(C328,Sheet2!A:A,0),1)</f>
        <v>6743</v>
      </c>
      <c r="I328">
        <f>3-COUNTBLANK(D328:F328)</f>
        <v>2</v>
      </c>
      <c r="J328">
        <f>IF(I328&gt;=2,H328,0)</f>
        <v>6743</v>
      </c>
    </row>
    <row r="329" spans="1:10" x14ac:dyDescent="0.3">
      <c r="A329" t="s">
        <v>660</v>
      </c>
      <c r="B329" t="s">
        <v>261</v>
      </c>
      <c r="C329" t="s">
        <v>262</v>
      </c>
      <c r="G329" t="str" cm="1">
        <f t="array" ref="G329">_xlfn.IFS(
ISNUMBER(SEARCH("hold",C329)),"hold",
ISNUMBER(SEARCH("youth",C329)),"youth",
ISNUMBER(SEARCH("juve",C329)),"youth",
OR(ISNUMBER(SEARCH("health",B329)),ISNUMBER(SEARCH("care ",B329)),ISNUMBER(SEARCH("psych",B329)),ISNUMBER(SEARCH("medical",B329)),ISNUMBER(SEARCH("hospital",B329))),"medical",
ISNUMBER(SEARCH("correct",B329)),"correctional",
ISNUMBER(SEARCH("process",B329)),"processing",
ISNUMBER(SEARCH("detention center",B329)),"detention",
ISNUMBER(SEARCH("detention fac",B329)),"detention",
ISNUMBER(SEARCH("staging",B329)),"staging",
ISNUMBER(SEARCH("prison",B329)),"prison",
ISNUMBER(SEARCH("penet",B329)),"prison",
ISNUMBER(SEARCH("jail",B329)),"jail",
ISNUMBER(SEARCH("detention",B329)),"detention",
ISNUMBER(SEARCH("sheriff",B329)),"sheriff/police",
ISNUMBER(SEARCH("police",B329)),"sheriff/police",
TRUE,""
)</f>
        <v>hold</v>
      </c>
      <c r="H329">
        <f>INDEX(Sheet2!B:B,MATCH(C329,Sheet2!A:A,0),1)</f>
        <v>219</v>
      </c>
      <c r="I329">
        <f>3-COUNTBLANK(D329:F329)</f>
        <v>0</v>
      </c>
      <c r="J329">
        <f>IF(I329&gt;=2,H329,0)</f>
        <v>0</v>
      </c>
    </row>
    <row r="330" spans="1:10" x14ac:dyDescent="0.3">
      <c r="A330" t="s">
        <v>664</v>
      </c>
      <c r="B330" t="s">
        <v>702</v>
      </c>
      <c r="C330" t="s">
        <v>703</v>
      </c>
      <c r="D330" t="s">
        <v>99</v>
      </c>
      <c r="G330" t="str" cm="1">
        <f t="array" ref="G330">_xlfn.IFS(
ISNUMBER(SEARCH("hold",C330)),"hold",
ISNUMBER(SEARCH("youth",C330)),"youth",
ISNUMBER(SEARCH("juve",C330)),"youth",
OR(ISNUMBER(SEARCH("health",B330)),ISNUMBER(SEARCH("care ",B330)),ISNUMBER(SEARCH("psych",B330)),ISNUMBER(SEARCH("medical",B330)),ISNUMBER(SEARCH("hospital",B330))),"medical",
ISNUMBER(SEARCH("correct",B330)),"correctional",
ISNUMBER(SEARCH("process",B330)),"processing",
ISNUMBER(SEARCH("detention center",B330)),"detention",
ISNUMBER(SEARCH("detention fac",B330)),"detention",
ISNUMBER(SEARCH("staging",B330)),"staging",
ISNUMBER(SEARCH("prison",B330)),"prison",
ISNUMBER(SEARCH("penet",B330)),"prison",
ISNUMBER(SEARCH("jail",B330)),"jail",
ISNUMBER(SEARCH("detention",B330)),"detention",
ISNUMBER(SEARCH("sheriff",B330)),"sheriff/police",
ISNUMBER(SEARCH("police",B330)),"sheriff/police",
TRUE,""
)</f>
        <v>processing</v>
      </c>
      <c r="H330">
        <f>INDEX(Sheet2!B:B,MATCH(C330,Sheet2!A:A,0),1)</f>
        <v>214</v>
      </c>
      <c r="I330">
        <f>3-COUNTBLANK(D330:F330)</f>
        <v>1</v>
      </c>
      <c r="J330">
        <f>IF(I330&gt;=2,H330,0)</f>
        <v>0</v>
      </c>
    </row>
    <row r="331" spans="1:10" x14ac:dyDescent="0.3">
      <c r="A331" t="s">
        <v>666</v>
      </c>
      <c r="B331" t="s">
        <v>1360</v>
      </c>
      <c r="C331" t="s">
        <v>1361</v>
      </c>
      <c r="D331" t="s">
        <v>42</v>
      </c>
      <c r="E331" t="s">
        <v>2477</v>
      </c>
      <c r="G331" t="str" cm="1">
        <f t="array" ref="G331">_xlfn.IFS(
ISNUMBER(SEARCH("hold",C331)),"hold",
ISNUMBER(SEARCH("youth",C331)),"youth",
ISNUMBER(SEARCH("juve",C331)),"youth",
OR(ISNUMBER(SEARCH("health",B331)),ISNUMBER(SEARCH("care ",B331)),ISNUMBER(SEARCH("psych",B331)),ISNUMBER(SEARCH("medical",B331)),ISNUMBER(SEARCH("hospital",B331))),"medical",
ISNUMBER(SEARCH("correct",B331)),"correctional",
ISNUMBER(SEARCH("process",B331)),"processing",
ISNUMBER(SEARCH("detention center",B331)),"detention",
ISNUMBER(SEARCH("detention fac",B331)),"detention",
ISNUMBER(SEARCH("staging",B331)),"staging",
ISNUMBER(SEARCH("prison",B331)),"prison",
ISNUMBER(SEARCH("penet",B331)),"prison",
ISNUMBER(SEARCH("jail",B331)),"jail",
ISNUMBER(SEARCH("detention",B331)),"detention",
ISNUMBER(SEARCH("sheriff",B331)),"sheriff/police",
ISNUMBER(SEARCH("police",B331)),"sheriff/police",
TRUE,""
)</f>
        <v>hold</v>
      </c>
      <c r="H331">
        <f>INDEX(Sheet2!B:B,MATCH(C331,Sheet2!A:A,0),1)</f>
        <v>211</v>
      </c>
      <c r="I331">
        <f>3-COUNTBLANK(D331:F331)</f>
        <v>2</v>
      </c>
      <c r="J331">
        <f>IF(I331&gt;=2,H331,0)</f>
        <v>211</v>
      </c>
    </row>
    <row r="332" spans="1:10" x14ac:dyDescent="0.3">
      <c r="A332" t="s">
        <v>669</v>
      </c>
      <c r="B332" t="s">
        <v>1283</v>
      </c>
      <c r="C332" t="s">
        <v>1284</v>
      </c>
      <c r="G332" t="str" cm="1">
        <f t="array" ref="G332">_xlfn.IFS(
ISNUMBER(SEARCH("hold",C332)),"hold",
ISNUMBER(SEARCH("youth",C332)),"youth",
ISNUMBER(SEARCH("juve",C332)),"youth",
OR(ISNUMBER(SEARCH("health",B332)),ISNUMBER(SEARCH("care ",B332)),ISNUMBER(SEARCH("psych",B332)),ISNUMBER(SEARCH("medical",B332)),ISNUMBER(SEARCH("hospital",B332))),"medical",
ISNUMBER(SEARCH("correct",B332)),"correctional",
ISNUMBER(SEARCH("process",B332)),"processing",
ISNUMBER(SEARCH("detention center",B332)),"detention",
ISNUMBER(SEARCH("detention fac",B332)),"detention",
ISNUMBER(SEARCH("staging",B332)),"staging",
ISNUMBER(SEARCH("prison",B332)),"prison",
ISNUMBER(SEARCH("penet",B332)),"prison",
ISNUMBER(SEARCH("jail",B332)),"jail",
ISNUMBER(SEARCH("detention",B332)),"detention",
ISNUMBER(SEARCH("sheriff",B332)),"sheriff/police",
ISNUMBER(SEARCH("police",B332)),"sheriff/police",
TRUE,""
)</f>
        <v>hold</v>
      </c>
      <c r="H332">
        <f>INDEX(Sheet2!B:B,MATCH(C332,Sheet2!A:A,0),1)</f>
        <v>207</v>
      </c>
      <c r="I332">
        <f>3-COUNTBLANK(D332:F332)</f>
        <v>0</v>
      </c>
      <c r="J332">
        <f>IF(I332&gt;=2,H332,0)</f>
        <v>0</v>
      </c>
    </row>
    <row r="333" spans="1:10" x14ac:dyDescent="0.3">
      <c r="A333" t="s">
        <v>672</v>
      </c>
      <c r="B333" t="s">
        <v>2534</v>
      </c>
      <c r="C333" t="s">
        <v>944</v>
      </c>
      <c r="D333" t="s">
        <v>121</v>
      </c>
      <c r="G333" t="str" cm="1">
        <f t="array" ref="G333">_xlfn.IFS(
ISNUMBER(SEARCH("hold",C333)),"hold",
ISNUMBER(SEARCH("youth",C333)),"youth",
ISNUMBER(SEARCH("juve",C333)),"youth",
OR(ISNUMBER(SEARCH("health",B333)),ISNUMBER(SEARCH("care ",B333)),ISNUMBER(SEARCH("psych",B333)),ISNUMBER(SEARCH("medical",B333)),ISNUMBER(SEARCH("hospital",B333))),"medical",
ISNUMBER(SEARCH("correct",B333)),"correctional",
ISNUMBER(SEARCH("process",B333)),"processing",
ISNUMBER(SEARCH("detention center",B333)),"detention",
ISNUMBER(SEARCH("detention fac",B333)),"detention",
ISNUMBER(SEARCH("staging",B333)),"staging",
ISNUMBER(SEARCH("prison",B333)),"prison",
ISNUMBER(SEARCH("penet",B333)),"prison",
ISNUMBER(SEARCH("jail",B333)),"jail",
ISNUMBER(SEARCH("detention",B333)),"detention",
ISNUMBER(SEARCH("sheriff",B333)),"sheriff/police",
ISNUMBER(SEARCH("police",B333)),"sheriff/police",
TRUE,""
)</f>
        <v>correctional</v>
      </c>
      <c r="H333">
        <f>INDEX(Sheet2!B:B,MATCH(C333,Sheet2!A:A,0),1)</f>
        <v>204</v>
      </c>
      <c r="I333">
        <f>3-COUNTBLANK(D333:F333)</f>
        <v>1</v>
      </c>
      <c r="J333">
        <f>IF(I333&gt;=2,H333,0)</f>
        <v>0</v>
      </c>
    </row>
    <row r="334" spans="1:10" x14ac:dyDescent="0.3">
      <c r="A334" t="s">
        <v>675</v>
      </c>
      <c r="B334" t="s">
        <v>1419</v>
      </c>
      <c r="C334" t="s">
        <v>1420</v>
      </c>
      <c r="G334" t="str" cm="1">
        <f t="array" ref="G334">_xlfn.IFS(
ISNUMBER(SEARCH("hold",C334)),"hold",
ISNUMBER(SEARCH("youth",C334)),"youth",
ISNUMBER(SEARCH("juve",C334)),"youth",
OR(ISNUMBER(SEARCH("health",B334)),ISNUMBER(SEARCH("care ",B334)),ISNUMBER(SEARCH("psych",B334)),ISNUMBER(SEARCH("medical",B334)),ISNUMBER(SEARCH("hospital",B334))),"medical",
ISNUMBER(SEARCH("correct",B334)),"correctional",
ISNUMBER(SEARCH("process",B334)),"processing",
ISNUMBER(SEARCH("detention center",B334)),"detention",
ISNUMBER(SEARCH("detention fac",B334)),"detention",
ISNUMBER(SEARCH("staging",B334)),"staging",
ISNUMBER(SEARCH("prison",B334)),"prison",
ISNUMBER(SEARCH("penet",B334)),"prison",
ISNUMBER(SEARCH("jail",B334)),"jail",
ISNUMBER(SEARCH("detention",B334)),"detention",
ISNUMBER(SEARCH("sheriff",B334)),"sheriff/police",
ISNUMBER(SEARCH("police",B334)),"sheriff/police",
TRUE,""
)</f>
        <v>hold</v>
      </c>
      <c r="H334">
        <f>INDEX(Sheet2!B:B,MATCH(C334,Sheet2!A:A,0),1)</f>
        <v>204</v>
      </c>
      <c r="I334">
        <f>3-COUNTBLANK(D334:F334)</f>
        <v>0</v>
      </c>
      <c r="J334">
        <f>IF(I334&gt;=2,H334,0)</f>
        <v>0</v>
      </c>
    </row>
    <row r="335" spans="1:10" x14ac:dyDescent="0.3">
      <c r="A335" t="s">
        <v>678</v>
      </c>
      <c r="B335" t="s">
        <v>1982</v>
      </c>
      <c r="C335" t="s">
        <v>1972</v>
      </c>
      <c r="D335" t="s">
        <v>82</v>
      </c>
      <c r="F335" t="s">
        <v>2331</v>
      </c>
      <c r="G335" t="str" cm="1">
        <f t="array" ref="G335">_xlfn.IFS(
ISNUMBER(SEARCH("hold",C335)),"hold",
ISNUMBER(SEARCH("youth",C335)),"youth",
ISNUMBER(SEARCH("juve",C335)),"youth",
OR(ISNUMBER(SEARCH("health",B335)),ISNUMBER(SEARCH("care ",B335)),ISNUMBER(SEARCH("psych",B335)),ISNUMBER(SEARCH("medical",B335)),ISNUMBER(SEARCH("hospital",B335))),"medical",
ISNUMBER(SEARCH("correct",B335)),"correctional",
ISNUMBER(SEARCH("process",B335)),"processing",
ISNUMBER(SEARCH("detention center",B335)),"detention",
ISNUMBER(SEARCH("detention fac",B335)),"detention",
ISNUMBER(SEARCH("staging",B335)),"staging",
ISNUMBER(SEARCH("prison",B335)),"prison",
ISNUMBER(SEARCH("penet",B335)),"prison",
ISNUMBER(SEARCH("jail",B335)),"jail",
ISNUMBER(SEARCH("detention",B335)),"detention",
ISNUMBER(SEARCH("sheriff",B335)),"sheriff/police",
ISNUMBER(SEARCH("police",B335)),"sheriff/police",
TRUE,""
)</f>
        <v>detention</v>
      </c>
      <c r="H335">
        <f>INDEX(Sheet2!B:B,MATCH(C335,Sheet2!A:A,0),1)</f>
        <v>203</v>
      </c>
      <c r="I335">
        <f>3-COUNTBLANK(D335:F335)</f>
        <v>2</v>
      </c>
      <c r="J335">
        <f>IF(I335&gt;=2,H335,0)</f>
        <v>203</v>
      </c>
    </row>
    <row r="336" spans="1:10" x14ac:dyDescent="0.3">
      <c r="A336" t="s">
        <v>681</v>
      </c>
      <c r="B336" t="s">
        <v>2544</v>
      </c>
      <c r="C336" t="s">
        <v>1942</v>
      </c>
      <c r="D336" t="s">
        <v>59</v>
      </c>
      <c r="F336" t="s">
        <v>2374</v>
      </c>
      <c r="G336" t="str" cm="1">
        <f t="array" ref="G336">_xlfn.IFS(
ISNUMBER(SEARCH("hold",C336)),"hold",
ISNUMBER(SEARCH("youth",C336)),"youth",
ISNUMBER(SEARCH("juve",C336)),"youth",
OR(ISNUMBER(SEARCH("health",B336)),ISNUMBER(SEARCH("care ",B336)),ISNUMBER(SEARCH("psych",B336)),ISNUMBER(SEARCH("medical",B336)),ISNUMBER(SEARCH("hospital",B336))),"medical",
ISNUMBER(SEARCH("correct",B336)),"correctional",
ISNUMBER(SEARCH("process",B336)),"processing",
ISNUMBER(SEARCH("detention center",B336)),"detention",
ISNUMBER(SEARCH("detention fac",B336)),"detention",
ISNUMBER(SEARCH("staging",B336)),"staging",
ISNUMBER(SEARCH("prison",B336)),"prison",
ISNUMBER(SEARCH("penet",B336)),"prison",
ISNUMBER(SEARCH("jail",B336)),"jail",
ISNUMBER(SEARCH("detention",B336)),"detention",
ISNUMBER(SEARCH("sheriff",B336)),"sheriff/police",
ISNUMBER(SEARCH("police",B336)),"sheriff/police",
TRUE,""
)</f>
        <v>detention</v>
      </c>
      <c r="H336">
        <f>INDEX(Sheet2!B:B,MATCH(C336,Sheet2!A:A,0),1)</f>
        <v>202</v>
      </c>
      <c r="I336">
        <f>3-COUNTBLANK(D336:F336)</f>
        <v>2</v>
      </c>
      <c r="J336">
        <f>IF(I336&gt;=2,H336,0)</f>
        <v>202</v>
      </c>
    </row>
    <row r="337" spans="1:10" x14ac:dyDescent="0.3">
      <c r="A337" t="s">
        <v>424</v>
      </c>
      <c r="B337" t="s">
        <v>371</v>
      </c>
      <c r="C337" t="s">
        <v>372</v>
      </c>
      <c r="D337" t="s">
        <v>163</v>
      </c>
      <c r="F337" t="s">
        <v>2245</v>
      </c>
      <c r="G337" t="str" cm="1">
        <f t="array" ref="G337">_xlfn.IFS(
ISNUMBER(SEARCH("hold",C337)),"hold",
ISNUMBER(SEARCH("youth",C337)),"youth",
ISNUMBER(SEARCH("juve",C337)),"youth",
OR(ISNUMBER(SEARCH("health",B337)),ISNUMBER(SEARCH("care ",B337)),ISNUMBER(SEARCH("psych",B337)),ISNUMBER(SEARCH("medical",B337)),ISNUMBER(SEARCH("hospital",B337))),"medical",
ISNUMBER(SEARCH("correct",B337)),"correctional",
ISNUMBER(SEARCH("process",B337)),"processing",
ISNUMBER(SEARCH("detention center",B337)),"detention",
ISNUMBER(SEARCH("detention fac",B337)),"detention",
ISNUMBER(SEARCH("staging",B337)),"staging",
ISNUMBER(SEARCH("prison",B337)),"prison",
ISNUMBER(SEARCH("penet",B337)),"prison",
ISNUMBER(SEARCH("jail",B337)),"jail",
ISNUMBER(SEARCH("detention",B337)),"detention",
ISNUMBER(SEARCH("sheriff",B337)),"sheriff/police",
ISNUMBER(SEARCH("police",B337)),"sheriff/police",
TRUE,""
)</f>
        <v/>
      </c>
      <c r="H337">
        <f>INDEX(Sheet2!B:B,MATCH(C337,Sheet2!A:A,0),1)</f>
        <v>519</v>
      </c>
      <c r="I337">
        <f>3-COUNTBLANK(D337:F337)</f>
        <v>2</v>
      </c>
      <c r="J337">
        <f>IF(I337&gt;=2,H337,0)</f>
        <v>519</v>
      </c>
    </row>
    <row r="338" spans="1:10" x14ac:dyDescent="0.3">
      <c r="A338" t="s">
        <v>686</v>
      </c>
      <c r="B338" t="s">
        <v>236</v>
      </c>
      <c r="C338" t="s">
        <v>237</v>
      </c>
      <c r="D338" t="s">
        <v>178</v>
      </c>
      <c r="E338" t="s">
        <v>2478</v>
      </c>
      <c r="G338" t="str" cm="1">
        <f t="array" ref="G338">_xlfn.IFS(
ISNUMBER(SEARCH("hold",C338)),"hold",
ISNUMBER(SEARCH("youth",C338)),"youth",
ISNUMBER(SEARCH("juve",C338)),"youth",
OR(ISNUMBER(SEARCH("health",B338)),ISNUMBER(SEARCH("care ",B338)),ISNUMBER(SEARCH("psych",B338)),ISNUMBER(SEARCH("medical",B338)),ISNUMBER(SEARCH("hospital",B338))),"medical",
ISNUMBER(SEARCH("correct",B338)),"correctional",
ISNUMBER(SEARCH("process",B338)),"processing",
ISNUMBER(SEARCH("detention center",B338)),"detention",
ISNUMBER(SEARCH("detention fac",B338)),"detention",
ISNUMBER(SEARCH("staging",B338)),"staging",
ISNUMBER(SEARCH("prison",B338)),"prison",
ISNUMBER(SEARCH("penet",B338)),"prison",
ISNUMBER(SEARCH("jail",B338)),"jail",
ISNUMBER(SEARCH("detention",B338)),"detention",
ISNUMBER(SEARCH("sheriff",B338)),"sheriff/police",
ISNUMBER(SEARCH("police",B338)),"sheriff/police",
TRUE,""
)</f>
        <v>hold</v>
      </c>
      <c r="H338">
        <f>INDEX(Sheet2!B:B,MATCH(C338,Sheet2!A:A,0),1)</f>
        <v>189</v>
      </c>
      <c r="I338">
        <f>3-COUNTBLANK(D338:F338)</f>
        <v>2</v>
      </c>
      <c r="J338">
        <f>IF(I338&gt;=2,H338,0)</f>
        <v>189</v>
      </c>
    </row>
    <row r="339" spans="1:10" x14ac:dyDescent="0.3">
      <c r="A339" t="s">
        <v>689</v>
      </c>
      <c r="B339" t="s">
        <v>1129</v>
      </c>
      <c r="C339" t="s">
        <v>1130</v>
      </c>
      <c r="G339" t="str" cm="1">
        <f t="array" ref="G339">_xlfn.IFS(
ISNUMBER(SEARCH("hold",C339)),"hold",
ISNUMBER(SEARCH("youth",C339)),"youth",
ISNUMBER(SEARCH("juve",C339)),"youth",
OR(ISNUMBER(SEARCH("health",B339)),ISNUMBER(SEARCH("care ",B339)),ISNUMBER(SEARCH("psych",B339)),ISNUMBER(SEARCH("medical",B339)),ISNUMBER(SEARCH("hospital",B339))),"medical",
ISNUMBER(SEARCH("correct",B339)),"correctional",
ISNUMBER(SEARCH("process",B339)),"processing",
ISNUMBER(SEARCH("detention center",B339)),"detention",
ISNUMBER(SEARCH("detention fac",B339)),"detention",
ISNUMBER(SEARCH("staging",B339)),"staging",
ISNUMBER(SEARCH("prison",B339)),"prison",
ISNUMBER(SEARCH("penet",B339)),"prison",
ISNUMBER(SEARCH("jail",B339)),"jail",
ISNUMBER(SEARCH("detention",B339)),"detention",
ISNUMBER(SEARCH("sheriff",B339)),"sheriff/police",
ISNUMBER(SEARCH("police",B339)),"sheriff/police",
TRUE,""
)</f>
        <v>hold</v>
      </c>
      <c r="H339">
        <f>INDEX(Sheet2!B:B,MATCH(C339,Sheet2!A:A,0),1)</f>
        <v>186</v>
      </c>
      <c r="I339">
        <f>3-COUNTBLANK(D339:F339)</f>
        <v>0</v>
      </c>
      <c r="J339">
        <f>IF(I339&gt;=2,H339,0)</f>
        <v>0</v>
      </c>
    </row>
    <row r="340" spans="1:10" x14ac:dyDescent="0.3">
      <c r="A340" t="s">
        <v>692</v>
      </c>
      <c r="B340" t="s">
        <v>872</v>
      </c>
      <c r="C340" t="s">
        <v>873</v>
      </c>
      <c r="D340" t="s">
        <v>88</v>
      </c>
      <c r="F340" t="s">
        <v>874</v>
      </c>
      <c r="G340" t="str" cm="1">
        <f t="array" ref="G340">_xlfn.IFS(
ISNUMBER(SEARCH("hold",C340)),"hold",
ISNUMBER(SEARCH("youth",C340)),"youth",
ISNUMBER(SEARCH("juve",C340)),"youth",
OR(ISNUMBER(SEARCH("health",B340)),ISNUMBER(SEARCH("care ",B340)),ISNUMBER(SEARCH("psych",B340)),ISNUMBER(SEARCH("medical",B340)),ISNUMBER(SEARCH("hospital",B340))),"medical",
ISNUMBER(SEARCH("correct",B340)),"correctional",
ISNUMBER(SEARCH("process",B340)),"processing",
ISNUMBER(SEARCH("detention center",B340)),"detention",
ISNUMBER(SEARCH("detention fac",B340)),"detention",
ISNUMBER(SEARCH("staging",B340)),"staging",
ISNUMBER(SEARCH("prison",B340)),"prison",
ISNUMBER(SEARCH("penet",B340)),"prison",
ISNUMBER(SEARCH("jail",B340)),"jail",
ISNUMBER(SEARCH("detention",B340)),"detention",
ISNUMBER(SEARCH("sheriff",B340)),"sheriff/police",
ISNUMBER(SEARCH("police",B340)),"sheriff/police",
TRUE,""
)</f>
        <v>jail</v>
      </c>
      <c r="H340">
        <f>INDEX(Sheet2!B:B,MATCH(C340,Sheet2!A:A,0),1)</f>
        <v>184</v>
      </c>
      <c r="I340">
        <f>3-COUNTBLANK(D340:F340)</f>
        <v>2</v>
      </c>
      <c r="J340">
        <f>IF(I340&gt;=2,H340,0)</f>
        <v>184</v>
      </c>
    </row>
    <row r="341" spans="1:10" x14ac:dyDescent="0.3">
      <c r="A341" t="s">
        <v>695</v>
      </c>
      <c r="B341" t="s">
        <v>110</v>
      </c>
      <c r="C341" t="s">
        <v>111</v>
      </c>
      <c r="D341" t="s">
        <v>88</v>
      </c>
      <c r="E341" t="s">
        <v>2479</v>
      </c>
      <c r="G341" t="str" cm="1">
        <f t="array" ref="G341">_xlfn.IFS(
ISNUMBER(SEARCH("hold",C341)),"hold",
ISNUMBER(SEARCH("youth",C341)),"youth",
ISNUMBER(SEARCH("juve",C341)),"youth",
OR(ISNUMBER(SEARCH("health",B341)),ISNUMBER(SEARCH("care ",B341)),ISNUMBER(SEARCH("psych",B341)),ISNUMBER(SEARCH("medical",B341)),ISNUMBER(SEARCH("hospital",B341))),"medical",
ISNUMBER(SEARCH("correct",B341)),"correctional",
ISNUMBER(SEARCH("process",B341)),"processing",
ISNUMBER(SEARCH("detention center",B341)),"detention",
ISNUMBER(SEARCH("detention fac",B341)),"detention",
ISNUMBER(SEARCH("staging",B341)),"staging",
ISNUMBER(SEARCH("prison",B341)),"prison",
ISNUMBER(SEARCH("penet",B341)),"prison",
ISNUMBER(SEARCH("jail",B341)),"jail",
ISNUMBER(SEARCH("detention",B341)),"detention",
ISNUMBER(SEARCH("sheriff",B341)),"sheriff/police",
ISNUMBER(SEARCH("police",B341)),"sheriff/police",
TRUE,""
)</f>
        <v>hold</v>
      </c>
      <c r="H341">
        <f>INDEX(Sheet2!B:B,MATCH(C341,Sheet2!A:A,0),1)</f>
        <v>183</v>
      </c>
      <c r="I341">
        <f>3-COUNTBLANK(D341:F341)</f>
        <v>2</v>
      </c>
      <c r="J341">
        <f>IF(I341&gt;=2,H341,0)</f>
        <v>183</v>
      </c>
    </row>
    <row r="342" spans="1:10" x14ac:dyDescent="0.3">
      <c r="A342" t="s">
        <v>698</v>
      </c>
      <c r="B342" t="s">
        <v>1461</v>
      </c>
      <c r="C342" t="s">
        <v>1462</v>
      </c>
      <c r="D342" t="s">
        <v>72</v>
      </c>
      <c r="G342" t="str" cm="1">
        <f t="array" ref="G342">_xlfn.IFS(
ISNUMBER(SEARCH("hold",C342)),"hold",
ISNUMBER(SEARCH("youth",C342)),"youth",
ISNUMBER(SEARCH("juve",C342)),"youth",
OR(ISNUMBER(SEARCH("health",B342)),ISNUMBER(SEARCH("care ",B342)),ISNUMBER(SEARCH("psych",B342)),ISNUMBER(SEARCH("medical",B342)),ISNUMBER(SEARCH("hospital",B342))),"medical",
ISNUMBER(SEARCH("correct",B342)),"correctional",
ISNUMBER(SEARCH("process",B342)),"processing",
ISNUMBER(SEARCH("detention center",B342)),"detention",
ISNUMBER(SEARCH("detention fac",B342)),"detention",
ISNUMBER(SEARCH("staging",B342)),"staging",
ISNUMBER(SEARCH("prison",B342)),"prison",
ISNUMBER(SEARCH("penet",B342)),"prison",
ISNUMBER(SEARCH("jail",B342)),"jail",
ISNUMBER(SEARCH("detention",B342)),"detention",
ISNUMBER(SEARCH("sheriff",B342)),"sheriff/police",
ISNUMBER(SEARCH("police",B342)),"sheriff/police",
TRUE,""
)</f>
        <v>medical</v>
      </c>
      <c r="H342">
        <f>INDEX(Sheet2!B:B,MATCH(C342,Sheet2!A:A,0),1)</f>
        <v>182</v>
      </c>
      <c r="I342">
        <f>3-COUNTBLANK(D342:F342)</f>
        <v>1</v>
      </c>
      <c r="J342">
        <f>IF(I342&gt;=2,H342,0)</f>
        <v>0</v>
      </c>
    </row>
    <row r="343" spans="1:10" x14ac:dyDescent="0.3">
      <c r="A343" t="s">
        <v>701</v>
      </c>
      <c r="B343" t="s">
        <v>1550</v>
      </c>
      <c r="C343" t="s">
        <v>1551</v>
      </c>
      <c r="G343" t="str" cm="1">
        <f t="array" ref="G343">_xlfn.IFS(
ISNUMBER(SEARCH("hold",C343)),"hold",
ISNUMBER(SEARCH("youth",C343)),"youth",
ISNUMBER(SEARCH("juve",C343)),"youth",
OR(ISNUMBER(SEARCH("health",B343)),ISNUMBER(SEARCH("care ",B343)),ISNUMBER(SEARCH("psych",B343)),ISNUMBER(SEARCH("medical",B343)),ISNUMBER(SEARCH("hospital",B343))),"medical",
ISNUMBER(SEARCH("correct",B343)),"correctional",
ISNUMBER(SEARCH("process",B343)),"processing",
ISNUMBER(SEARCH("detention center",B343)),"detention",
ISNUMBER(SEARCH("detention fac",B343)),"detention",
ISNUMBER(SEARCH("staging",B343)),"staging",
ISNUMBER(SEARCH("prison",B343)),"prison",
ISNUMBER(SEARCH("penet",B343)),"prison",
ISNUMBER(SEARCH("jail",B343)),"jail",
ISNUMBER(SEARCH("detention",B343)),"detention",
ISNUMBER(SEARCH("sheriff",B343)),"sheriff/police",
ISNUMBER(SEARCH("police",B343)),"sheriff/police",
TRUE,""
)</f>
        <v>hold</v>
      </c>
      <c r="H343">
        <f>INDEX(Sheet2!B:B,MATCH(C343,Sheet2!A:A,0),1)</f>
        <v>182</v>
      </c>
      <c r="I343">
        <f>3-COUNTBLANK(D343:F343)</f>
        <v>0</v>
      </c>
      <c r="J343">
        <f>IF(I343&gt;=2,H343,0)</f>
        <v>0</v>
      </c>
    </row>
    <row r="344" spans="1:10" x14ac:dyDescent="0.3">
      <c r="A344" t="s">
        <v>704</v>
      </c>
      <c r="B344" t="s">
        <v>878</v>
      </c>
      <c r="C344" t="s">
        <v>879</v>
      </c>
      <c r="D344" t="s">
        <v>204</v>
      </c>
      <c r="E344" t="s">
        <v>2480</v>
      </c>
      <c r="G344" t="str" cm="1">
        <f t="array" ref="G344">_xlfn.IFS(
ISNUMBER(SEARCH("hold",C344)),"hold",
ISNUMBER(SEARCH("youth",C344)),"youth",
ISNUMBER(SEARCH("juve",C344)),"youth",
OR(ISNUMBER(SEARCH("health",B344)),ISNUMBER(SEARCH("care ",B344)),ISNUMBER(SEARCH("psych",B344)),ISNUMBER(SEARCH("medical",B344)),ISNUMBER(SEARCH("hospital",B344))),"medical",
ISNUMBER(SEARCH("correct",B344)),"correctional",
ISNUMBER(SEARCH("process",B344)),"processing",
ISNUMBER(SEARCH("detention center",B344)),"detention",
ISNUMBER(SEARCH("detention fac",B344)),"detention",
ISNUMBER(SEARCH("staging",B344)),"staging",
ISNUMBER(SEARCH("prison",B344)),"prison",
ISNUMBER(SEARCH("penet",B344)),"prison",
ISNUMBER(SEARCH("jail",B344)),"jail",
ISNUMBER(SEARCH("detention",B344)),"detention",
ISNUMBER(SEARCH("sheriff",B344)),"sheriff/police",
ISNUMBER(SEARCH("police",B344)),"sheriff/police",
TRUE,""
)</f>
        <v>hold</v>
      </c>
      <c r="H344">
        <f>INDEX(Sheet2!B:B,MATCH(C344,Sheet2!A:A,0),1)</f>
        <v>181</v>
      </c>
      <c r="I344">
        <f>3-COUNTBLANK(D344:F344)</f>
        <v>2</v>
      </c>
      <c r="J344">
        <f>IF(I344&gt;=2,H344,0)</f>
        <v>181</v>
      </c>
    </row>
    <row r="345" spans="1:10" x14ac:dyDescent="0.3">
      <c r="A345" t="s">
        <v>707</v>
      </c>
      <c r="B345" t="s">
        <v>1888</v>
      </c>
      <c r="C345" t="s">
        <v>1889</v>
      </c>
      <c r="D345" t="s">
        <v>238</v>
      </c>
      <c r="E345" t="s">
        <v>2236</v>
      </c>
      <c r="G345" t="str" cm="1">
        <f t="array" ref="G345">_xlfn.IFS(
ISNUMBER(SEARCH("hold",C345)),"hold",
ISNUMBER(SEARCH("youth",C345)),"youth",
ISNUMBER(SEARCH("juve",C345)),"youth",
OR(ISNUMBER(SEARCH("health",B345)),ISNUMBER(SEARCH("care ",B345)),ISNUMBER(SEARCH("psych",B345)),ISNUMBER(SEARCH("medical",B345)),ISNUMBER(SEARCH("hospital",B345))),"medical",
ISNUMBER(SEARCH("correct",B345)),"correctional",
ISNUMBER(SEARCH("process",B345)),"processing",
ISNUMBER(SEARCH("detention center",B345)),"detention",
ISNUMBER(SEARCH("detention fac",B345)),"detention",
ISNUMBER(SEARCH("staging",B345)),"staging",
ISNUMBER(SEARCH("prison",B345)),"prison",
ISNUMBER(SEARCH("penet",B345)),"prison",
ISNUMBER(SEARCH("jail",B345)),"jail",
ISNUMBER(SEARCH("detention",B345)),"detention",
ISNUMBER(SEARCH("sheriff",B345)),"sheriff/police",
ISNUMBER(SEARCH("police",B345)),"sheriff/police",
TRUE,""
)</f>
        <v>hold</v>
      </c>
      <c r="H345">
        <f>INDEX(Sheet2!B:B,MATCH(C345,Sheet2!A:A,0),1)</f>
        <v>178</v>
      </c>
      <c r="I345">
        <f>3-COUNTBLANK(D345:F345)</f>
        <v>2</v>
      </c>
      <c r="J345">
        <f>IF(I345&gt;=2,H345,0)</f>
        <v>178</v>
      </c>
    </row>
    <row r="346" spans="1:10" x14ac:dyDescent="0.3">
      <c r="A346" t="s">
        <v>710</v>
      </c>
      <c r="B346" t="s">
        <v>1443</v>
      </c>
      <c r="C346" t="s">
        <v>1445</v>
      </c>
      <c r="D346" t="s">
        <v>72</v>
      </c>
      <c r="G346" t="str" cm="1">
        <f t="array" ref="G346">_xlfn.IFS(
ISNUMBER(SEARCH("hold",C346)),"hold",
ISNUMBER(SEARCH("youth",C346)),"youth",
ISNUMBER(SEARCH("juve",C346)),"youth",
OR(ISNUMBER(SEARCH("health",B346)),ISNUMBER(SEARCH("care ",B346)),ISNUMBER(SEARCH("psych",B346)),ISNUMBER(SEARCH("medical",B346)),ISNUMBER(SEARCH("hospital",B346))),"medical",
ISNUMBER(SEARCH("correct",B346)),"correctional",
ISNUMBER(SEARCH("process",B346)),"processing",
ISNUMBER(SEARCH("detention center",B346)),"detention",
ISNUMBER(SEARCH("detention fac",B346)),"detention",
ISNUMBER(SEARCH("staging",B346)),"staging",
ISNUMBER(SEARCH("prison",B346)),"prison",
ISNUMBER(SEARCH("penet",B346)),"prison",
ISNUMBER(SEARCH("jail",B346)),"jail",
ISNUMBER(SEARCH("detention",B346)),"detention",
ISNUMBER(SEARCH("sheriff",B346)),"sheriff/police",
ISNUMBER(SEARCH("police",B346)),"sheriff/police",
TRUE,""
)</f>
        <v>medical</v>
      </c>
      <c r="H346">
        <f>INDEX(Sheet2!B:B,MATCH(C346,Sheet2!A:A,0),1)</f>
        <v>178</v>
      </c>
      <c r="I346">
        <f>3-COUNTBLANK(D346:F346)</f>
        <v>1</v>
      </c>
      <c r="J346">
        <f>IF(I346&gt;=2,H346,0)</f>
        <v>0</v>
      </c>
    </row>
    <row r="347" spans="1:10" x14ac:dyDescent="0.3">
      <c r="A347" t="s">
        <v>714</v>
      </c>
      <c r="B347" t="s">
        <v>1535</v>
      </c>
      <c r="C347" t="s">
        <v>1536</v>
      </c>
      <c r="D347" t="s">
        <v>204</v>
      </c>
      <c r="G347" t="str" cm="1">
        <f t="array" ref="G347">_xlfn.IFS(
ISNUMBER(SEARCH("hold",C347)),"hold",
ISNUMBER(SEARCH("youth",C347)),"youth",
ISNUMBER(SEARCH("juve",C347)),"youth",
OR(ISNUMBER(SEARCH("health",B347)),ISNUMBER(SEARCH("care ",B347)),ISNUMBER(SEARCH("psych",B347)),ISNUMBER(SEARCH("medical",B347)),ISNUMBER(SEARCH("hospital",B347))),"medical",
ISNUMBER(SEARCH("correct",B347)),"correctional",
ISNUMBER(SEARCH("process",B347)),"processing",
ISNUMBER(SEARCH("detention center",B347)),"detention",
ISNUMBER(SEARCH("detention fac",B347)),"detention",
ISNUMBER(SEARCH("staging",B347)),"staging",
ISNUMBER(SEARCH("prison",B347)),"prison",
ISNUMBER(SEARCH("penet",B347)),"prison",
ISNUMBER(SEARCH("jail",B347)),"jail",
ISNUMBER(SEARCH("detention",B347)),"detention",
ISNUMBER(SEARCH("sheriff",B347)),"sheriff/police",
ISNUMBER(SEARCH("police",B347)),"sheriff/police",
TRUE,""
)</f>
        <v>detention</v>
      </c>
      <c r="H347">
        <f>INDEX(Sheet2!B:B,MATCH(C347,Sheet2!A:A,0),1)</f>
        <v>173</v>
      </c>
      <c r="I347">
        <f>3-COUNTBLANK(D347:F347)</f>
        <v>1</v>
      </c>
      <c r="J347">
        <f>IF(I347&gt;=2,H347,0)</f>
        <v>0</v>
      </c>
    </row>
    <row r="348" spans="1:10" x14ac:dyDescent="0.3">
      <c r="A348" t="s">
        <v>717</v>
      </c>
      <c r="B348" t="s">
        <v>1464</v>
      </c>
      <c r="C348" t="s">
        <v>1465</v>
      </c>
      <c r="D348" t="s">
        <v>23</v>
      </c>
      <c r="G348" t="str" cm="1">
        <f t="array" ref="G348">_xlfn.IFS(
ISNUMBER(SEARCH("hold",C348)),"hold",
ISNUMBER(SEARCH("youth",C348)),"youth",
ISNUMBER(SEARCH("juve",C348)),"youth",
OR(ISNUMBER(SEARCH("health",B348)),ISNUMBER(SEARCH("care ",B348)),ISNUMBER(SEARCH("psych",B348)),ISNUMBER(SEARCH("medical",B348)),ISNUMBER(SEARCH("hospital",B348))),"medical",
ISNUMBER(SEARCH("correct",B348)),"correctional",
ISNUMBER(SEARCH("process",B348)),"processing",
ISNUMBER(SEARCH("detention center",B348)),"detention",
ISNUMBER(SEARCH("detention fac",B348)),"detention",
ISNUMBER(SEARCH("staging",B348)),"staging",
ISNUMBER(SEARCH("prison",B348)),"prison",
ISNUMBER(SEARCH("penet",B348)),"prison",
ISNUMBER(SEARCH("jail",B348)),"jail",
ISNUMBER(SEARCH("detention",B348)),"detention",
ISNUMBER(SEARCH("sheriff",B348)),"sheriff/police",
ISNUMBER(SEARCH("police",B348)),"sheriff/police",
TRUE,""
)</f>
        <v>medical</v>
      </c>
      <c r="H348">
        <f>INDEX(Sheet2!B:B,MATCH(C348,Sheet2!A:A,0),1)</f>
        <v>173</v>
      </c>
      <c r="I348">
        <f>3-COUNTBLANK(D348:F348)</f>
        <v>1</v>
      </c>
      <c r="J348">
        <f>IF(I348&gt;=2,H348,0)</f>
        <v>0</v>
      </c>
    </row>
    <row r="349" spans="1:10" x14ac:dyDescent="0.3">
      <c r="A349" t="s">
        <v>721</v>
      </c>
      <c r="B349" t="s">
        <v>1744</v>
      </c>
      <c r="C349" t="s">
        <v>1745</v>
      </c>
      <c r="D349" t="s">
        <v>6</v>
      </c>
      <c r="F349" t="s">
        <v>2283</v>
      </c>
      <c r="G349" t="str" cm="1">
        <f t="array" ref="G349">_xlfn.IFS(
ISNUMBER(SEARCH("hold",C349)),"hold",
ISNUMBER(SEARCH("youth",C349)),"youth",
ISNUMBER(SEARCH("juve",C349)),"youth",
OR(ISNUMBER(SEARCH("health",B349)),ISNUMBER(SEARCH("care ",B349)),ISNUMBER(SEARCH("psych",B349)),ISNUMBER(SEARCH("medical",B349)),ISNUMBER(SEARCH("hospital",B349))),"medical",
ISNUMBER(SEARCH("correct",B349)),"correctional",
ISNUMBER(SEARCH("process",B349)),"processing",
ISNUMBER(SEARCH("detention center",B349)),"detention",
ISNUMBER(SEARCH("detention fac",B349)),"detention",
ISNUMBER(SEARCH("staging",B349)),"staging",
ISNUMBER(SEARCH("prison",B349)),"prison",
ISNUMBER(SEARCH("penet",B349)),"prison",
ISNUMBER(SEARCH("jail",B349)),"jail",
ISNUMBER(SEARCH("detention",B349)),"detention",
ISNUMBER(SEARCH("sheriff",B349)),"sheriff/police",
ISNUMBER(SEARCH("police",B349)),"sheriff/police",
TRUE,""
)</f>
        <v>jail</v>
      </c>
      <c r="H349">
        <f>INDEX(Sheet2!B:B,MATCH(C349,Sheet2!A:A,0),1)</f>
        <v>172</v>
      </c>
      <c r="I349">
        <f>3-COUNTBLANK(D349:F349)</f>
        <v>2</v>
      </c>
      <c r="J349">
        <f>IF(I349&gt;=2,H349,0)</f>
        <v>172</v>
      </c>
    </row>
    <row r="350" spans="1:10" x14ac:dyDescent="0.3">
      <c r="A350" t="s">
        <v>724</v>
      </c>
      <c r="B350" t="s">
        <v>249</v>
      </c>
      <c r="C350" t="s">
        <v>250</v>
      </c>
      <c r="D350" t="s">
        <v>27</v>
      </c>
      <c r="E350" t="s">
        <v>2481</v>
      </c>
      <c r="G350" t="str" cm="1">
        <f t="array" ref="G350">_xlfn.IFS(
ISNUMBER(SEARCH("hold",C350)),"hold",
ISNUMBER(SEARCH("youth",C350)),"youth",
ISNUMBER(SEARCH("juve",C350)),"youth",
OR(ISNUMBER(SEARCH("health",B350)),ISNUMBER(SEARCH("care ",B350)),ISNUMBER(SEARCH("psych",B350)),ISNUMBER(SEARCH("medical",B350)),ISNUMBER(SEARCH("hospital",B350))),"medical",
ISNUMBER(SEARCH("correct",B350)),"correctional",
ISNUMBER(SEARCH("process",B350)),"processing",
ISNUMBER(SEARCH("detention center",B350)),"detention",
ISNUMBER(SEARCH("detention fac",B350)),"detention",
ISNUMBER(SEARCH("staging",B350)),"staging",
ISNUMBER(SEARCH("prison",B350)),"prison",
ISNUMBER(SEARCH("penet",B350)),"prison",
ISNUMBER(SEARCH("jail",B350)),"jail",
ISNUMBER(SEARCH("detention",B350)),"detention",
ISNUMBER(SEARCH("sheriff",B350)),"sheriff/police",
ISNUMBER(SEARCH("police",B350)),"sheriff/police",
TRUE,""
)</f>
        <v>hold</v>
      </c>
      <c r="H350">
        <f>INDEX(Sheet2!B:B,MATCH(C350,Sheet2!A:A,0),1)</f>
        <v>171</v>
      </c>
      <c r="I350">
        <f>3-COUNTBLANK(D350:F350)</f>
        <v>2</v>
      </c>
      <c r="J350">
        <f>IF(I350&gt;=2,H350,0)</f>
        <v>171</v>
      </c>
    </row>
    <row r="351" spans="1:10" x14ac:dyDescent="0.3">
      <c r="A351" t="s">
        <v>727</v>
      </c>
      <c r="B351" t="s">
        <v>1115</v>
      </c>
      <c r="C351" t="s">
        <v>1116</v>
      </c>
      <c r="D351" t="s">
        <v>72</v>
      </c>
      <c r="F351" t="s">
        <v>2356</v>
      </c>
      <c r="G351" t="str" cm="1">
        <f t="array" ref="G351">_xlfn.IFS(
ISNUMBER(SEARCH("hold",C351)),"hold",
ISNUMBER(SEARCH("youth",C351)),"youth",
ISNUMBER(SEARCH("juve",C351)),"youth",
OR(ISNUMBER(SEARCH("health",B351)),ISNUMBER(SEARCH("care ",B351)),ISNUMBER(SEARCH("psych",B351)),ISNUMBER(SEARCH("medical",B351)),ISNUMBER(SEARCH("hospital",B351))),"medical",
ISNUMBER(SEARCH("correct",B351)),"correctional",
ISNUMBER(SEARCH("process",B351)),"processing",
ISNUMBER(SEARCH("detention center",B351)),"detention",
ISNUMBER(SEARCH("detention fac",B351)),"detention",
ISNUMBER(SEARCH("staging",B351)),"staging",
ISNUMBER(SEARCH("prison",B351)),"prison",
ISNUMBER(SEARCH("penet",B351)),"prison",
ISNUMBER(SEARCH("jail",B351)),"jail",
ISNUMBER(SEARCH("detention",B351)),"detention",
ISNUMBER(SEARCH("sheriff",B351)),"sheriff/police",
ISNUMBER(SEARCH("police",B351)),"sheriff/police",
TRUE,""
)</f>
        <v>jail</v>
      </c>
      <c r="H351">
        <f>INDEX(Sheet2!B:B,MATCH(C351,Sheet2!A:A,0),1)</f>
        <v>169</v>
      </c>
      <c r="I351">
        <f>3-COUNTBLANK(D351:F351)</f>
        <v>2</v>
      </c>
      <c r="J351">
        <f>IF(I351&gt;=2,H351,0)</f>
        <v>169</v>
      </c>
    </row>
    <row r="352" spans="1:10" x14ac:dyDescent="0.3">
      <c r="A352" t="s">
        <v>730</v>
      </c>
      <c r="B352" t="s">
        <v>343</v>
      </c>
      <c r="C352" t="s">
        <v>344</v>
      </c>
      <c r="D352" t="s">
        <v>174</v>
      </c>
      <c r="F352" t="s">
        <v>2317</v>
      </c>
      <c r="G352" t="str" cm="1">
        <f t="array" ref="G352">_xlfn.IFS(
ISNUMBER(SEARCH("hold",C352)),"hold",
ISNUMBER(SEARCH("youth",C352)),"youth",
ISNUMBER(SEARCH("juve",C352)),"youth",
OR(ISNUMBER(SEARCH("health",B352)),ISNUMBER(SEARCH("care ",B352)),ISNUMBER(SEARCH("psych",B352)),ISNUMBER(SEARCH("medical",B352)),ISNUMBER(SEARCH("hospital",B352))),"medical",
ISNUMBER(SEARCH("correct",B352)),"correctional",
ISNUMBER(SEARCH("process",B352)),"processing",
ISNUMBER(SEARCH("detention center",B352)),"detention",
ISNUMBER(SEARCH("detention fac",B352)),"detention",
ISNUMBER(SEARCH("staging",B352)),"staging",
ISNUMBER(SEARCH("prison",B352)),"prison",
ISNUMBER(SEARCH("penet",B352)),"prison",
ISNUMBER(SEARCH("jail",B352)),"jail",
ISNUMBER(SEARCH("detention",B352)),"detention",
ISNUMBER(SEARCH("sheriff",B352)),"sheriff/police",
ISNUMBER(SEARCH("police",B352)),"sheriff/police",
TRUE,""
)</f>
        <v>jail</v>
      </c>
      <c r="H352">
        <f>INDEX(Sheet2!B:B,MATCH(C352,Sheet2!A:A,0),1)</f>
        <v>167</v>
      </c>
      <c r="I352">
        <f>3-COUNTBLANK(D352:F352)</f>
        <v>2</v>
      </c>
      <c r="J352">
        <f>IF(I352&gt;=2,H352,0)</f>
        <v>167</v>
      </c>
    </row>
    <row r="353" spans="1:10" x14ac:dyDescent="0.3">
      <c r="A353" t="s">
        <v>733</v>
      </c>
      <c r="B353" t="s">
        <v>1830</v>
      </c>
      <c r="C353" t="s">
        <v>1831</v>
      </c>
      <c r="D353" t="s">
        <v>88</v>
      </c>
      <c r="E353" t="s">
        <v>2482</v>
      </c>
      <c r="G353" t="str" cm="1">
        <f t="array" ref="G353">_xlfn.IFS(
ISNUMBER(SEARCH("hold",C353)),"hold",
ISNUMBER(SEARCH("youth",C353)),"youth",
ISNUMBER(SEARCH("juve",C353)),"youth",
OR(ISNUMBER(SEARCH("health",B353)),ISNUMBER(SEARCH("care ",B353)),ISNUMBER(SEARCH("psych",B353)),ISNUMBER(SEARCH("medical",B353)),ISNUMBER(SEARCH("hospital",B353))),"medical",
ISNUMBER(SEARCH("correct",B353)),"correctional",
ISNUMBER(SEARCH("process",B353)),"processing",
ISNUMBER(SEARCH("detention center",B353)),"detention",
ISNUMBER(SEARCH("detention fac",B353)),"detention",
ISNUMBER(SEARCH("staging",B353)),"staging",
ISNUMBER(SEARCH("prison",B353)),"prison",
ISNUMBER(SEARCH("penet",B353)),"prison",
ISNUMBER(SEARCH("jail",B353)),"jail",
ISNUMBER(SEARCH("detention",B353)),"detention",
ISNUMBER(SEARCH("sheriff",B353)),"sheriff/police",
ISNUMBER(SEARCH("police",B353)),"sheriff/police",
TRUE,""
)</f>
        <v>hold</v>
      </c>
      <c r="H353">
        <f>INDEX(Sheet2!B:B,MATCH(C353,Sheet2!A:A,0),1)</f>
        <v>165</v>
      </c>
      <c r="I353">
        <f>3-COUNTBLANK(D353:F353)</f>
        <v>2</v>
      </c>
      <c r="J353">
        <f>IF(I353&gt;=2,H353,0)</f>
        <v>165</v>
      </c>
    </row>
    <row r="354" spans="1:10" x14ac:dyDescent="0.3">
      <c r="A354" t="s">
        <v>736</v>
      </c>
      <c r="B354" t="s">
        <v>1014</v>
      </c>
      <c r="C354" t="s">
        <v>1015</v>
      </c>
      <c r="D354" t="s">
        <v>200</v>
      </c>
      <c r="F354" t="s">
        <v>2345</v>
      </c>
      <c r="G354" t="str" cm="1">
        <f t="array" ref="G354">_xlfn.IFS(
ISNUMBER(SEARCH("hold",C354)),"hold",
ISNUMBER(SEARCH("youth",C354)),"youth",
ISNUMBER(SEARCH("juve",C354)),"youth",
OR(ISNUMBER(SEARCH("health",B354)),ISNUMBER(SEARCH("care ",B354)),ISNUMBER(SEARCH("psych",B354)),ISNUMBER(SEARCH("medical",B354)),ISNUMBER(SEARCH("hospital",B354))),"medical",
ISNUMBER(SEARCH("correct",B354)),"correctional",
ISNUMBER(SEARCH("process",B354)),"processing",
ISNUMBER(SEARCH("detention center",B354)),"detention",
ISNUMBER(SEARCH("detention fac",B354)),"detention",
ISNUMBER(SEARCH("staging",B354)),"staging",
ISNUMBER(SEARCH("prison",B354)),"prison",
ISNUMBER(SEARCH("penet",B354)),"prison",
ISNUMBER(SEARCH("jail",B354)),"jail",
ISNUMBER(SEARCH("detention",B354)),"detention",
ISNUMBER(SEARCH("sheriff",B354)),"sheriff/police",
ISNUMBER(SEARCH("police",B354)),"sheriff/police",
TRUE,""
)</f>
        <v>jail</v>
      </c>
      <c r="H354">
        <f>INDEX(Sheet2!B:B,MATCH(C354,Sheet2!A:A,0),1)</f>
        <v>165</v>
      </c>
      <c r="I354">
        <f>3-COUNTBLANK(D354:F354)</f>
        <v>2</v>
      </c>
      <c r="J354">
        <f>IF(I354&gt;=2,H354,0)</f>
        <v>165</v>
      </c>
    </row>
    <row r="355" spans="1:10" x14ac:dyDescent="0.3">
      <c r="A355" t="s">
        <v>739</v>
      </c>
      <c r="B355" t="s">
        <v>25</v>
      </c>
      <c r="C355" t="s">
        <v>26</v>
      </c>
      <c r="D355" t="s">
        <v>170</v>
      </c>
      <c r="E355" t="s">
        <v>2483</v>
      </c>
      <c r="G355" t="str" cm="1">
        <f t="array" ref="G355">_xlfn.IFS(
ISNUMBER(SEARCH("hold",C355)),"hold",
ISNUMBER(SEARCH("youth",C355)),"youth",
ISNUMBER(SEARCH("juve",C355)),"youth",
OR(ISNUMBER(SEARCH("health",B355)),ISNUMBER(SEARCH("care ",B355)),ISNUMBER(SEARCH("psych",B355)),ISNUMBER(SEARCH("medical",B355)),ISNUMBER(SEARCH("hospital",B355))),"medical",
ISNUMBER(SEARCH("correct",B355)),"correctional",
ISNUMBER(SEARCH("process",B355)),"processing",
ISNUMBER(SEARCH("detention center",B355)),"detention",
ISNUMBER(SEARCH("detention fac",B355)),"detention",
ISNUMBER(SEARCH("staging",B355)),"staging",
ISNUMBER(SEARCH("prison",B355)),"prison",
ISNUMBER(SEARCH("penet",B355)),"prison",
ISNUMBER(SEARCH("jail",B355)),"jail",
ISNUMBER(SEARCH("detention",B355)),"detention",
ISNUMBER(SEARCH("sheriff",B355)),"sheriff/police",
ISNUMBER(SEARCH("police",B355)),"sheriff/police",
TRUE,""
)</f>
        <v>hold</v>
      </c>
      <c r="H355">
        <f>INDEX(Sheet2!B:B,MATCH(C355,Sheet2!A:A,0),1)</f>
        <v>164</v>
      </c>
      <c r="I355">
        <f>3-COUNTBLANK(D355:F355)</f>
        <v>2</v>
      </c>
      <c r="J355">
        <f>IF(I355&gt;=2,H355,0)</f>
        <v>164</v>
      </c>
    </row>
    <row r="356" spans="1:10" x14ac:dyDescent="0.3">
      <c r="A356" t="s">
        <v>742</v>
      </c>
      <c r="B356" t="s">
        <v>8</v>
      </c>
      <c r="C356" t="s">
        <v>9</v>
      </c>
      <c r="D356" t="s">
        <v>35</v>
      </c>
      <c r="E356" t="s">
        <v>2504</v>
      </c>
      <c r="G356" t="str" cm="1">
        <f t="array" ref="G356">_xlfn.IFS(
ISNUMBER(SEARCH("hold",C356)),"hold",
ISNUMBER(SEARCH("youth",C356)),"youth",
ISNUMBER(SEARCH("juve",C356)),"youth",
OR(ISNUMBER(SEARCH("health",B356)),ISNUMBER(SEARCH("care ",B356)),ISNUMBER(SEARCH("psych",B356)),ISNUMBER(SEARCH("medical",B356)),ISNUMBER(SEARCH("hospital",B356))),"medical",
ISNUMBER(SEARCH("correct",B356)),"correctional",
ISNUMBER(SEARCH("process",B356)),"processing",
ISNUMBER(SEARCH("detention center",B356)),"detention",
ISNUMBER(SEARCH("detention fac",B356)),"detention",
ISNUMBER(SEARCH("staging",B356)),"staging",
ISNUMBER(SEARCH("prison",B356)),"prison",
ISNUMBER(SEARCH("penet",B356)),"prison",
ISNUMBER(SEARCH("jail",B356)),"jail",
ISNUMBER(SEARCH("detention",B356)),"detention",
ISNUMBER(SEARCH("sheriff",B356)),"sheriff/police",
ISNUMBER(SEARCH("police",B356)),"sheriff/police",
TRUE,""
)</f>
        <v>hold</v>
      </c>
      <c r="H356">
        <f>INDEX(Sheet2!B:B,MATCH(C356,Sheet2!A:A,0),1)</f>
        <v>163</v>
      </c>
      <c r="I356">
        <f>3-COUNTBLANK(D356:F356)</f>
        <v>2</v>
      </c>
      <c r="J356">
        <f>IF(I356&gt;=2,H356,0)</f>
        <v>163</v>
      </c>
    </row>
    <row r="357" spans="1:10" x14ac:dyDescent="0.3">
      <c r="A357" t="s">
        <v>742</v>
      </c>
      <c r="B357" t="s">
        <v>1701</v>
      </c>
      <c r="C357" t="s">
        <v>1702</v>
      </c>
      <c r="D357" t="s">
        <v>72</v>
      </c>
      <c r="F357" t="s">
        <v>2279</v>
      </c>
      <c r="G357" t="str" cm="1">
        <f t="array" ref="G357">_xlfn.IFS(
ISNUMBER(SEARCH("hold",C357)),"hold",
ISNUMBER(SEARCH("youth",C357)),"youth",
ISNUMBER(SEARCH("juve",C357)),"youth",
OR(ISNUMBER(SEARCH("health",B357)),ISNUMBER(SEARCH("care ",B357)),ISNUMBER(SEARCH("psych",B357)),ISNUMBER(SEARCH("medical",B357)),ISNUMBER(SEARCH("hospital",B357))),"medical",
ISNUMBER(SEARCH("correct",B357)),"correctional",
ISNUMBER(SEARCH("process",B357)),"processing",
ISNUMBER(SEARCH("detention center",B357)),"detention",
ISNUMBER(SEARCH("detention fac",B357)),"detention",
ISNUMBER(SEARCH("staging",B357)),"staging",
ISNUMBER(SEARCH("prison",B357)),"prison",
ISNUMBER(SEARCH("penet",B357)),"prison",
ISNUMBER(SEARCH("jail",B357)),"jail",
ISNUMBER(SEARCH("detention",B357)),"detention",
ISNUMBER(SEARCH("sheriff",B357)),"sheriff/police",
ISNUMBER(SEARCH("police",B357)),"sheriff/police",
TRUE,""
)</f>
        <v>jail</v>
      </c>
      <c r="H357">
        <f>INDEX(Sheet2!B:B,MATCH(C357,Sheet2!A:A,0),1)</f>
        <v>161</v>
      </c>
      <c r="I357">
        <f>3-COUNTBLANK(D357:F357)</f>
        <v>2</v>
      </c>
      <c r="J357">
        <f>IF(I357&gt;=2,H357,0)</f>
        <v>161</v>
      </c>
    </row>
    <row r="358" spans="1:10" x14ac:dyDescent="0.3">
      <c r="A358" t="s">
        <v>747</v>
      </c>
      <c r="B358" t="s">
        <v>1620</v>
      </c>
      <c r="C358" t="s">
        <v>1621</v>
      </c>
      <c r="D358" t="s">
        <v>42</v>
      </c>
      <c r="F358" t="s">
        <v>1622</v>
      </c>
      <c r="G358" t="str" cm="1">
        <f t="array" ref="G358">_xlfn.IFS(
ISNUMBER(SEARCH("hold",C358)),"hold",
ISNUMBER(SEARCH("youth",C358)),"youth",
ISNUMBER(SEARCH("juve",C358)),"youth",
OR(ISNUMBER(SEARCH("health",B358)),ISNUMBER(SEARCH("care ",B358)),ISNUMBER(SEARCH("psych",B358)),ISNUMBER(SEARCH("medical",B358)),ISNUMBER(SEARCH("hospital",B358))),"medical",
ISNUMBER(SEARCH("correct",B358)),"correctional",
ISNUMBER(SEARCH("process",B358)),"processing",
ISNUMBER(SEARCH("detention center",B358)),"detention",
ISNUMBER(SEARCH("detention fac",B358)),"detention",
ISNUMBER(SEARCH("staging",B358)),"staging",
ISNUMBER(SEARCH("prison",B358)),"prison",
ISNUMBER(SEARCH("penet",B358)),"prison",
ISNUMBER(SEARCH("jail",B358)),"jail",
ISNUMBER(SEARCH("detention",B358)),"detention",
ISNUMBER(SEARCH("sheriff",B358)),"sheriff/police",
ISNUMBER(SEARCH("police",B358)),"sheriff/police",
TRUE,""
)</f>
        <v>jail</v>
      </c>
      <c r="H358">
        <f>INDEX(Sheet2!B:B,MATCH(C358,Sheet2!A:A,0),1)</f>
        <v>158</v>
      </c>
      <c r="I358">
        <f>3-COUNTBLANK(D358:F358)</f>
        <v>2</v>
      </c>
      <c r="J358">
        <f>IF(I358&gt;=2,H358,0)</f>
        <v>158</v>
      </c>
    </row>
    <row r="359" spans="1:10" x14ac:dyDescent="0.3">
      <c r="A359" t="s">
        <v>750</v>
      </c>
      <c r="B359" t="s">
        <v>763</v>
      </c>
      <c r="C359" t="s">
        <v>764</v>
      </c>
      <c r="D359" t="s">
        <v>72</v>
      </c>
      <c r="F359" t="s">
        <v>2329</v>
      </c>
      <c r="G359" t="str" cm="1">
        <f t="array" ref="G359">_xlfn.IFS(
ISNUMBER(SEARCH("hold",C359)),"hold",
ISNUMBER(SEARCH("youth",C359)),"youth",
ISNUMBER(SEARCH("juve",C359)),"youth",
OR(ISNUMBER(SEARCH("health",B359)),ISNUMBER(SEARCH("care ",B359)),ISNUMBER(SEARCH("psych",B359)),ISNUMBER(SEARCH("medical",B359)),ISNUMBER(SEARCH("hospital",B359))),"medical",
ISNUMBER(SEARCH("correct",B359)),"correctional",
ISNUMBER(SEARCH("process",B359)),"processing",
ISNUMBER(SEARCH("detention center",B359)),"detention",
ISNUMBER(SEARCH("detention fac",B359)),"detention",
ISNUMBER(SEARCH("staging",B359)),"staging",
ISNUMBER(SEARCH("prison",B359)),"prison",
ISNUMBER(SEARCH("penet",B359)),"prison",
ISNUMBER(SEARCH("jail",B359)),"jail",
ISNUMBER(SEARCH("detention",B359)),"detention",
ISNUMBER(SEARCH("sheriff",B359)),"sheriff/police",
ISNUMBER(SEARCH("police",B359)),"sheriff/police",
TRUE,""
)</f>
        <v>jail</v>
      </c>
      <c r="H359">
        <f>INDEX(Sheet2!B:B,MATCH(C359,Sheet2!A:A,0),1)</f>
        <v>156</v>
      </c>
      <c r="I359">
        <f>3-COUNTBLANK(D359:F359)</f>
        <v>2</v>
      </c>
      <c r="J359">
        <f>IF(I359&gt;=2,H359,0)</f>
        <v>156</v>
      </c>
    </row>
    <row r="360" spans="1:10" x14ac:dyDescent="0.3">
      <c r="A360" t="s">
        <v>1852</v>
      </c>
      <c r="B360" t="s">
        <v>358</v>
      </c>
      <c r="C360" t="s">
        <v>359</v>
      </c>
      <c r="D360" t="s">
        <v>31</v>
      </c>
      <c r="G360" t="str" cm="1">
        <f t="array" ref="G360">_xlfn.IFS(
ISNUMBER(SEARCH("hold",C360)),"hold",
ISNUMBER(SEARCH("youth",C360)),"youth",
ISNUMBER(SEARCH("juve",C360)),"youth",
OR(ISNUMBER(SEARCH("health",B360)),ISNUMBER(SEARCH("care ",B360)),ISNUMBER(SEARCH("psych",B360)),ISNUMBER(SEARCH("medical",B360)),ISNUMBER(SEARCH("hospital",B360))),"medical",
ISNUMBER(SEARCH("correct",B360)),"correctional",
ISNUMBER(SEARCH("process",B360)),"processing",
ISNUMBER(SEARCH("detention center",B360)),"detention",
ISNUMBER(SEARCH("detention fac",B360)),"detention",
ISNUMBER(SEARCH("staging",B360)),"staging",
ISNUMBER(SEARCH("prison",B360)),"prison",
ISNUMBER(SEARCH("penet",B360)),"prison",
ISNUMBER(SEARCH("jail",B360)),"jail",
ISNUMBER(SEARCH("detention",B360)),"detention",
ISNUMBER(SEARCH("sheriff",B360)),"sheriff/police",
ISNUMBER(SEARCH("police",B360)),"sheriff/police",
TRUE,""
)</f>
        <v/>
      </c>
      <c r="H360">
        <f>INDEX(Sheet2!B:B,MATCH(C360,Sheet2!A:A,0),1)</f>
        <v>3992</v>
      </c>
      <c r="I360">
        <f>3-COUNTBLANK(D360:F360)</f>
        <v>1</v>
      </c>
      <c r="J360">
        <f>IF(I360&gt;=2,H360,0)</f>
        <v>0</v>
      </c>
    </row>
    <row r="361" spans="1:10" x14ac:dyDescent="0.3">
      <c r="A361" t="s">
        <v>756</v>
      </c>
      <c r="B361" t="s">
        <v>2555</v>
      </c>
      <c r="C361" t="s">
        <v>1530</v>
      </c>
      <c r="D361" t="s">
        <v>6</v>
      </c>
      <c r="F361" t="s">
        <v>2250</v>
      </c>
      <c r="G361" t="str" cm="1">
        <f t="array" ref="G361">_xlfn.IFS(
ISNUMBER(SEARCH("hold",C361)),"hold",
ISNUMBER(SEARCH("youth",C361)),"youth",
ISNUMBER(SEARCH("juve",C361)),"youth",
OR(ISNUMBER(SEARCH("health",B361)),ISNUMBER(SEARCH("care ",B361)),ISNUMBER(SEARCH("psych",B361)),ISNUMBER(SEARCH("medical",B361)),ISNUMBER(SEARCH("hospital",B361))),"medical",
ISNUMBER(SEARCH("correct",B361)),"correctional",
ISNUMBER(SEARCH("process",B361)),"processing",
ISNUMBER(SEARCH("detention center",B361)),"detention",
ISNUMBER(SEARCH("detention fac",B361)),"detention",
ISNUMBER(SEARCH("staging",B361)),"staging",
ISNUMBER(SEARCH("prison",B361)),"prison",
ISNUMBER(SEARCH("penet",B361)),"prison",
ISNUMBER(SEARCH("jail",B361)),"jail",
ISNUMBER(SEARCH("detention",B361)),"detention",
ISNUMBER(SEARCH("sheriff",B361)),"sheriff/police",
ISNUMBER(SEARCH("police",B361)),"sheriff/police",
TRUE,""
)</f>
        <v>medical</v>
      </c>
      <c r="H361">
        <f>INDEX(Sheet2!B:B,MATCH(C361,Sheet2!A:A,0),1)</f>
        <v>149</v>
      </c>
      <c r="I361">
        <f>3-COUNTBLANK(D361:F361)</f>
        <v>2</v>
      </c>
      <c r="J361">
        <f>IF(I361&gt;=2,H361,0)</f>
        <v>149</v>
      </c>
    </row>
    <row r="362" spans="1:10" x14ac:dyDescent="0.3">
      <c r="A362" t="s">
        <v>758</v>
      </c>
      <c r="B362" t="s">
        <v>1384</v>
      </c>
      <c r="C362" t="s">
        <v>1385</v>
      </c>
      <c r="D362" t="s">
        <v>72</v>
      </c>
      <c r="F362" t="s">
        <v>2376</v>
      </c>
      <c r="G362" t="str" cm="1">
        <f t="array" ref="G362">_xlfn.IFS(
ISNUMBER(SEARCH("hold",C362)),"hold",
ISNUMBER(SEARCH("youth",C362)),"youth",
ISNUMBER(SEARCH("juve",C362)),"youth",
OR(ISNUMBER(SEARCH("health",B362)),ISNUMBER(SEARCH("care ",B362)),ISNUMBER(SEARCH("psych",B362)),ISNUMBER(SEARCH("medical",B362)),ISNUMBER(SEARCH("hospital",B362))),"medical",
ISNUMBER(SEARCH("correct",B362)),"correctional",
ISNUMBER(SEARCH("process",B362)),"processing",
ISNUMBER(SEARCH("detention center",B362)),"detention",
ISNUMBER(SEARCH("detention fac",B362)),"detention",
ISNUMBER(SEARCH("staging",B362)),"staging",
ISNUMBER(SEARCH("prison",B362)),"prison",
ISNUMBER(SEARCH("penet",B362)),"prison",
ISNUMBER(SEARCH("jail",B362)),"jail",
ISNUMBER(SEARCH("detention",B362)),"detention",
ISNUMBER(SEARCH("sheriff",B362)),"sheriff/police",
ISNUMBER(SEARCH("police",B362)),"sheriff/police",
TRUE,""
)</f>
        <v>jail</v>
      </c>
      <c r="H362">
        <f>INDEX(Sheet2!B:B,MATCH(C362,Sheet2!A:A,0),1)</f>
        <v>145</v>
      </c>
      <c r="I362">
        <f>3-COUNTBLANK(D362:F362)</f>
        <v>2</v>
      </c>
      <c r="J362">
        <f>IF(I362&gt;=2,H362,0)</f>
        <v>145</v>
      </c>
    </row>
    <row r="363" spans="1:10" x14ac:dyDescent="0.3">
      <c r="A363" t="s">
        <v>762</v>
      </c>
      <c r="B363" t="s">
        <v>1859</v>
      </c>
      <c r="C363" t="s">
        <v>1860</v>
      </c>
      <c r="D363" t="s">
        <v>120</v>
      </c>
      <c r="E363" t="s">
        <v>2505</v>
      </c>
      <c r="G363" t="str" cm="1">
        <f t="array" ref="G363">_xlfn.IFS(
ISNUMBER(SEARCH("hold",C363)),"hold",
ISNUMBER(SEARCH("youth",C363)),"youth",
ISNUMBER(SEARCH("juve",C363)),"youth",
OR(ISNUMBER(SEARCH("health",B363)),ISNUMBER(SEARCH("care ",B363)),ISNUMBER(SEARCH("psych",B363)),ISNUMBER(SEARCH("medical",B363)),ISNUMBER(SEARCH("hospital",B363))),"medical",
ISNUMBER(SEARCH("correct",B363)),"correctional",
ISNUMBER(SEARCH("process",B363)),"processing",
ISNUMBER(SEARCH("detention center",B363)),"detention",
ISNUMBER(SEARCH("detention fac",B363)),"detention",
ISNUMBER(SEARCH("staging",B363)),"staging",
ISNUMBER(SEARCH("prison",B363)),"prison",
ISNUMBER(SEARCH("penet",B363)),"prison",
ISNUMBER(SEARCH("jail",B363)),"jail",
ISNUMBER(SEARCH("detention",B363)),"detention",
ISNUMBER(SEARCH("sheriff",B363)),"sheriff/police",
ISNUMBER(SEARCH("police",B363)),"sheriff/police",
TRUE,""
)</f>
        <v>hold</v>
      </c>
      <c r="H363">
        <f>INDEX(Sheet2!B:B,MATCH(C363,Sheet2!A:A,0),1)</f>
        <v>143</v>
      </c>
      <c r="I363">
        <f>3-COUNTBLANK(D363:F363)</f>
        <v>2</v>
      </c>
      <c r="J363">
        <f>IF(I363&gt;=2,H363,0)</f>
        <v>143</v>
      </c>
    </row>
    <row r="364" spans="1:10" x14ac:dyDescent="0.3">
      <c r="A364" t="s">
        <v>765</v>
      </c>
      <c r="B364" t="s">
        <v>1818</v>
      </c>
      <c r="C364" t="s">
        <v>1819</v>
      </c>
      <c r="D364" t="s">
        <v>68</v>
      </c>
      <c r="F364" t="s">
        <v>2290</v>
      </c>
      <c r="G364" t="str" cm="1">
        <f t="array" ref="G364">_xlfn.IFS(
ISNUMBER(SEARCH("hold",C364)),"hold",
ISNUMBER(SEARCH("youth",C364)),"youth",
ISNUMBER(SEARCH("juve",C364)),"youth",
OR(ISNUMBER(SEARCH("health",B364)),ISNUMBER(SEARCH("care ",B364)),ISNUMBER(SEARCH("psych",B364)),ISNUMBER(SEARCH("medical",B364)),ISNUMBER(SEARCH("hospital",B364))),"medical",
ISNUMBER(SEARCH("correct",B364)),"correctional",
ISNUMBER(SEARCH("process",B364)),"processing",
ISNUMBER(SEARCH("detention center",B364)),"detention",
ISNUMBER(SEARCH("detention fac",B364)),"detention",
ISNUMBER(SEARCH("staging",B364)),"staging",
ISNUMBER(SEARCH("prison",B364)),"prison",
ISNUMBER(SEARCH("penet",B364)),"prison",
ISNUMBER(SEARCH("jail",B364)),"jail",
ISNUMBER(SEARCH("detention",B364)),"detention",
ISNUMBER(SEARCH("sheriff",B364)),"sheriff/police",
ISNUMBER(SEARCH("police",B364)),"sheriff/police",
TRUE,""
)</f>
        <v>jail</v>
      </c>
      <c r="H364">
        <f>INDEX(Sheet2!B:B,MATCH(C364,Sheet2!A:A,0),1)</f>
        <v>143</v>
      </c>
      <c r="I364">
        <f>3-COUNTBLANK(D364:F364)</f>
        <v>2</v>
      </c>
      <c r="J364">
        <f>IF(I364&gt;=2,H364,0)</f>
        <v>143</v>
      </c>
    </row>
    <row r="365" spans="1:10" x14ac:dyDescent="0.3">
      <c r="A365" t="s">
        <v>769</v>
      </c>
      <c r="B365" t="s">
        <v>912</v>
      </c>
      <c r="C365" t="s">
        <v>913</v>
      </c>
      <c r="D365" t="s">
        <v>42</v>
      </c>
      <c r="F365" t="s">
        <v>2338</v>
      </c>
      <c r="G365" t="str" cm="1">
        <f t="array" ref="G365">_xlfn.IFS(
ISNUMBER(SEARCH("hold",C365)),"hold",
ISNUMBER(SEARCH("youth",C365)),"youth",
ISNUMBER(SEARCH("juve",C365)),"youth",
OR(ISNUMBER(SEARCH("health",B365)),ISNUMBER(SEARCH("care ",B365)),ISNUMBER(SEARCH("psych",B365)),ISNUMBER(SEARCH("medical",B365)),ISNUMBER(SEARCH("hospital",B365))),"medical",
ISNUMBER(SEARCH("correct",B365)),"correctional",
ISNUMBER(SEARCH("process",B365)),"processing",
ISNUMBER(SEARCH("detention center",B365)),"detention",
ISNUMBER(SEARCH("detention fac",B365)),"detention",
ISNUMBER(SEARCH("staging",B365)),"staging",
ISNUMBER(SEARCH("prison",B365)),"prison",
ISNUMBER(SEARCH("penet",B365)),"prison",
ISNUMBER(SEARCH("jail",B365)),"jail",
ISNUMBER(SEARCH("detention",B365)),"detention",
ISNUMBER(SEARCH("sheriff",B365)),"sheriff/police",
ISNUMBER(SEARCH("police",B365)),"sheriff/police",
TRUE,""
)</f>
        <v>jail</v>
      </c>
      <c r="H365">
        <f>INDEX(Sheet2!B:B,MATCH(C365,Sheet2!A:A,0),1)</f>
        <v>142</v>
      </c>
      <c r="I365">
        <f>3-COUNTBLANK(D365:F365)</f>
        <v>2</v>
      </c>
      <c r="J365">
        <f>IF(I365&gt;=2,H365,0)</f>
        <v>142</v>
      </c>
    </row>
    <row r="366" spans="1:10" x14ac:dyDescent="0.3">
      <c r="A366" t="s">
        <v>772</v>
      </c>
      <c r="B366" t="s">
        <v>1774</v>
      </c>
      <c r="C366" t="s">
        <v>1775</v>
      </c>
      <c r="D366" t="s">
        <v>163</v>
      </c>
      <c r="F366" t="s">
        <v>2286</v>
      </c>
      <c r="G366" t="str" cm="1">
        <f t="array" ref="G366">_xlfn.IFS(
ISNUMBER(SEARCH("hold",C366)),"hold",
ISNUMBER(SEARCH("youth",C366)),"youth",
ISNUMBER(SEARCH("juve",C366)),"youth",
OR(ISNUMBER(SEARCH("health",B366)),ISNUMBER(SEARCH("care ",B366)),ISNUMBER(SEARCH("psych",B366)),ISNUMBER(SEARCH("medical",B366)),ISNUMBER(SEARCH("hospital",B366))),"medical",
ISNUMBER(SEARCH("correct",B366)),"correctional",
ISNUMBER(SEARCH("process",B366)),"processing",
ISNUMBER(SEARCH("detention center",B366)),"detention",
ISNUMBER(SEARCH("detention fac",B366)),"detention",
ISNUMBER(SEARCH("staging",B366)),"staging",
ISNUMBER(SEARCH("prison",B366)),"prison",
ISNUMBER(SEARCH("penet",B366)),"prison",
ISNUMBER(SEARCH("jail",B366)),"jail",
ISNUMBER(SEARCH("detention",B366)),"detention",
ISNUMBER(SEARCH("sheriff",B366)),"sheriff/police",
ISNUMBER(SEARCH("police",B366)),"sheriff/police",
TRUE,""
)</f>
        <v>jail</v>
      </c>
      <c r="H366">
        <f>INDEX(Sheet2!B:B,MATCH(C366,Sheet2!A:A,0),1)</f>
        <v>141</v>
      </c>
      <c r="I366">
        <f>3-COUNTBLANK(D366:F366)</f>
        <v>2</v>
      </c>
      <c r="J366">
        <f>IF(I366&gt;=2,H366,0)</f>
        <v>141</v>
      </c>
    </row>
    <row r="367" spans="1:10" x14ac:dyDescent="0.3">
      <c r="A367" t="s">
        <v>774</v>
      </c>
      <c r="B367" t="s">
        <v>1527</v>
      </c>
      <c r="C367" t="s">
        <v>1528</v>
      </c>
      <c r="D367" t="s">
        <v>227</v>
      </c>
      <c r="E367" t="s">
        <v>2484</v>
      </c>
      <c r="G367" t="str" cm="1">
        <f t="array" ref="G367">_xlfn.IFS(
ISNUMBER(SEARCH("hold",C367)),"hold",
ISNUMBER(SEARCH("youth",C367)),"youth",
ISNUMBER(SEARCH("juve",C367)),"youth",
OR(ISNUMBER(SEARCH("health",B367)),ISNUMBER(SEARCH("care ",B367)),ISNUMBER(SEARCH("psych",B367)),ISNUMBER(SEARCH("medical",B367)),ISNUMBER(SEARCH("hospital",B367))),"medical",
ISNUMBER(SEARCH("correct",B367)),"correctional",
ISNUMBER(SEARCH("process",B367)),"processing",
ISNUMBER(SEARCH("detention center",B367)),"detention",
ISNUMBER(SEARCH("detention fac",B367)),"detention",
ISNUMBER(SEARCH("staging",B367)),"staging",
ISNUMBER(SEARCH("prison",B367)),"prison",
ISNUMBER(SEARCH("penet",B367)),"prison",
ISNUMBER(SEARCH("jail",B367)),"jail",
ISNUMBER(SEARCH("detention",B367)),"detention",
ISNUMBER(SEARCH("sheriff",B367)),"sheriff/police",
ISNUMBER(SEARCH("police",B367)),"sheriff/police",
TRUE,""
)</f>
        <v>hold</v>
      </c>
      <c r="H367">
        <f>INDEX(Sheet2!B:B,MATCH(C367,Sheet2!A:A,0),1)</f>
        <v>141</v>
      </c>
      <c r="I367">
        <f>3-COUNTBLANK(D367:F367)</f>
        <v>2</v>
      </c>
      <c r="J367">
        <f>IF(I367&gt;=2,H367,0)</f>
        <v>141</v>
      </c>
    </row>
    <row r="368" spans="1:10" x14ac:dyDescent="0.3">
      <c r="A368" t="s">
        <v>777</v>
      </c>
      <c r="B368" t="s">
        <v>1135</v>
      </c>
      <c r="C368" t="s">
        <v>1136</v>
      </c>
      <c r="D368" t="s">
        <v>227</v>
      </c>
      <c r="E368" t="s">
        <v>2238</v>
      </c>
      <c r="G368" t="str" cm="1">
        <f t="array" ref="G368">_xlfn.IFS(
ISNUMBER(SEARCH("hold",C368)),"hold",
ISNUMBER(SEARCH("youth",C368)),"youth",
ISNUMBER(SEARCH("juve",C368)),"youth",
OR(ISNUMBER(SEARCH("health",B368)),ISNUMBER(SEARCH("care ",B368)),ISNUMBER(SEARCH("psych",B368)),ISNUMBER(SEARCH("medical",B368)),ISNUMBER(SEARCH("hospital",B368))),"medical",
ISNUMBER(SEARCH("correct",B368)),"correctional",
ISNUMBER(SEARCH("process",B368)),"processing",
ISNUMBER(SEARCH("detention center",B368)),"detention",
ISNUMBER(SEARCH("detention fac",B368)),"detention",
ISNUMBER(SEARCH("staging",B368)),"staging",
ISNUMBER(SEARCH("prison",B368)),"prison",
ISNUMBER(SEARCH("penet",B368)),"prison",
ISNUMBER(SEARCH("jail",B368)),"jail",
ISNUMBER(SEARCH("detention",B368)),"detention",
ISNUMBER(SEARCH("sheriff",B368)),"sheriff/police",
ISNUMBER(SEARCH("police",B368)),"sheriff/police",
TRUE,""
)</f>
        <v>hold</v>
      </c>
      <c r="H368">
        <f>INDEX(Sheet2!B:B,MATCH(C368,Sheet2!A:A,0),1)</f>
        <v>140</v>
      </c>
      <c r="I368">
        <f>3-COUNTBLANK(D368:F368)</f>
        <v>2</v>
      </c>
      <c r="J368">
        <f>IF(I368&gt;=2,H368,0)</f>
        <v>140</v>
      </c>
    </row>
    <row r="369" spans="1:10" x14ac:dyDescent="0.3">
      <c r="A369" t="s">
        <v>780</v>
      </c>
      <c r="B369" t="s">
        <v>172</v>
      </c>
      <c r="C369" t="s">
        <v>173</v>
      </c>
      <c r="D369" t="s">
        <v>72</v>
      </c>
      <c r="E369" t="s">
        <v>2234</v>
      </c>
      <c r="F369" t="s">
        <v>2234</v>
      </c>
      <c r="G369" t="str" cm="1">
        <f t="array" ref="G369">_xlfn.IFS(
ISNUMBER(SEARCH("hold",C369)),"hold",
ISNUMBER(SEARCH("youth",C369)),"youth",
ISNUMBER(SEARCH("juve",C369)),"youth",
OR(ISNUMBER(SEARCH("health",B369)),ISNUMBER(SEARCH("care ",B369)),ISNUMBER(SEARCH("psych",B369)),ISNUMBER(SEARCH("medical",B369)),ISNUMBER(SEARCH("hospital",B369))),"medical",
ISNUMBER(SEARCH("correct",B369)),"correctional",
ISNUMBER(SEARCH("process",B369)),"processing",
ISNUMBER(SEARCH("detention center",B369)),"detention",
ISNUMBER(SEARCH("detention fac",B369)),"detention",
ISNUMBER(SEARCH("staging",B369)),"staging",
ISNUMBER(SEARCH("prison",B369)),"prison",
ISNUMBER(SEARCH("penet",B369)),"prison",
ISNUMBER(SEARCH("jail",B369)),"jail",
ISNUMBER(SEARCH("detention",B369)),"detention",
ISNUMBER(SEARCH("sheriff",B369)),"sheriff/police",
ISNUMBER(SEARCH("police",B369)),"sheriff/police",
TRUE,""
)</f>
        <v>medical</v>
      </c>
      <c r="H369">
        <f>INDEX(Sheet2!B:B,MATCH(C369,Sheet2!A:A,0),1)</f>
        <v>137</v>
      </c>
      <c r="I369">
        <f>3-COUNTBLANK(D369:F369)</f>
        <v>3</v>
      </c>
      <c r="J369">
        <f>IF(I369&gt;=2,H369,0)</f>
        <v>137</v>
      </c>
    </row>
    <row r="370" spans="1:10" x14ac:dyDescent="0.3">
      <c r="A370" t="s">
        <v>783</v>
      </c>
      <c r="B370" t="s">
        <v>625</v>
      </c>
      <c r="C370" t="s">
        <v>626</v>
      </c>
      <c r="D370" t="s">
        <v>6</v>
      </c>
      <c r="G370" t="str" cm="1">
        <f t="array" ref="G370">_xlfn.IFS(
ISNUMBER(SEARCH("hold",C370)),"hold",
ISNUMBER(SEARCH("youth",C370)),"youth",
ISNUMBER(SEARCH("juve",C370)),"youth",
OR(ISNUMBER(SEARCH("health",B370)),ISNUMBER(SEARCH("care ",B370)),ISNUMBER(SEARCH("psych",B370)),ISNUMBER(SEARCH("medical",B370)),ISNUMBER(SEARCH("hospital",B370))),"medical",
ISNUMBER(SEARCH("correct",B370)),"correctional",
ISNUMBER(SEARCH("process",B370)),"processing",
ISNUMBER(SEARCH("detention center",B370)),"detention",
ISNUMBER(SEARCH("detention fac",B370)),"detention",
ISNUMBER(SEARCH("staging",B370)),"staging",
ISNUMBER(SEARCH("prison",B370)),"prison",
ISNUMBER(SEARCH("penet",B370)),"prison",
ISNUMBER(SEARCH("jail",B370)),"jail",
ISNUMBER(SEARCH("detention",B370)),"detention",
ISNUMBER(SEARCH("sheriff",B370)),"sheriff/police",
ISNUMBER(SEARCH("police",B370)),"sheriff/police",
TRUE,""
)</f>
        <v>medical</v>
      </c>
      <c r="H370">
        <f>INDEX(Sheet2!B:B,MATCH(C370,Sheet2!A:A,0),1)</f>
        <v>134</v>
      </c>
      <c r="I370">
        <f>3-COUNTBLANK(D370:F370)</f>
        <v>1</v>
      </c>
      <c r="J370">
        <f>IF(I370&gt;=2,H370,0)</f>
        <v>0</v>
      </c>
    </row>
    <row r="371" spans="1:10" x14ac:dyDescent="0.3">
      <c r="A371" t="s">
        <v>786</v>
      </c>
      <c r="B371" t="s">
        <v>1633</v>
      </c>
      <c r="C371" t="s">
        <v>1634</v>
      </c>
      <c r="D371" t="s">
        <v>15</v>
      </c>
      <c r="F371" t="s">
        <v>2235</v>
      </c>
      <c r="G371" t="str" cm="1">
        <f t="array" ref="G371">_xlfn.IFS(
ISNUMBER(SEARCH("hold",C371)),"hold",
ISNUMBER(SEARCH("youth",C371)),"youth",
ISNUMBER(SEARCH("juve",C371)),"youth",
OR(ISNUMBER(SEARCH("health",B371)),ISNUMBER(SEARCH("care ",B371)),ISNUMBER(SEARCH("psych",B371)),ISNUMBER(SEARCH("medical",B371)),ISNUMBER(SEARCH("hospital",B371))),"medical",
ISNUMBER(SEARCH("correct",B371)),"correctional",
ISNUMBER(SEARCH("process",B371)),"processing",
ISNUMBER(SEARCH("detention center",B371)),"detention",
ISNUMBER(SEARCH("detention fac",B371)),"detention",
ISNUMBER(SEARCH("staging",B371)),"staging",
ISNUMBER(SEARCH("prison",B371)),"prison",
ISNUMBER(SEARCH("penet",B371)),"prison",
ISNUMBER(SEARCH("jail",B371)),"jail",
ISNUMBER(SEARCH("detention",B371)),"detention",
ISNUMBER(SEARCH("sheriff",B371)),"sheriff/police",
ISNUMBER(SEARCH("police",B371)),"sheriff/police",
TRUE,""
)</f>
        <v>jail</v>
      </c>
      <c r="H371">
        <f>INDEX(Sheet2!B:B,MATCH(C371,Sheet2!A:A,0),1)</f>
        <v>131</v>
      </c>
      <c r="I371">
        <f>3-COUNTBLANK(D371:F371)</f>
        <v>2</v>
      </c>
      <c r="J371">
        <f>IF(I371&gt;=2,H371,0)</f>
        <v>131</v>
      </c>
    </row>
    <row r="372" spans="1:10" x14ac:dyDescent="0.3">
      <c r="A372" t="s">
        <v>789</v>
      </c>
      <c r="B372" t="s">
        <v>743</v>
      </c>
      <c r="C372" t="s">
        <v>744</v>
      </c>
      <c r="D372" t="s">
        <v>6</v>
      </c>
      <c r="F372" t="s">
        <v>746</v>
      </c>
      <c r="G372" t="str" cm="1">
        <f t="array" ref="G372">_xlfn.IFS(
ISNUMBER(SEARCH("hold",C372)),"hold",
ISNUMBER(SEARCH("youth",C372)),"youth",
ISNUMBER(SEARCH("juve",C372)),"youth",
OR(ISNUMBER(SEARCH("health",B372)),ISNUMBER(SEARCH("care ",B372)),ISNUMBER(SEARCH("psych",B372)),ISNUMBER(SEARCH("medical",B372)),ISNUMBER(SEARCH("hospital",B372))),"medical",
ISNUMBER(SEARCH("correct",B372)),"correctional",
ISNUMBER(SEARCH("process",B372)),"processing",
ISNUMBER(SEARCH("detention center",B372)),"detention",
ISNUMBER(SEARCH("detention fac",B372)),"detention",
ISNUMBER(SEARCH("staging",B372)),"staging",
ISNUMBER(SEARCH("prison",B372)),"prison",
ISNUMBER(SEARCH("penet",B372)),"prison",
ISNUMBER(SEARCH("jail",B372)),"jail",
ISNUMBER(SEARCH("detention",B372)),"detention",
ISNUMBER(SEARCH("sheriff",B372)),"sheriff/police",
ISNUMBER(SEARCH("police",B372)),"sheriff/police",
TRUE,""
)</f>
        <v>jail</v>
      </c>
      <c r="H372">
        <f>INDEX(Sheet2!B:B,MATCH(C372,Sheet2!A:A,0),1)</f>
        <v>131</v>
      </c>
      <c r="I372">
        <f>3-COUNTBLANK(D372:F372)</f>
        <v>2</v>
      </c>
      <c r="J372">
        <f>IF(I372&gt;=2,H372,0)</f>
        <v>131</v>
      </c>
    </row>
    <row r="373" spans="1:10" x14ac:dyDescent="0.3">
      <c r="A373" t="s">
        <v>792</v>
      </c>
      <c r="B373" t="s">
        <v>1500</v>
      </c>
      <c r="C373" t="s">
        <v>1501</v>
      </c>
      <c r="D373" t="s">
        <v>163</v>
      </c>
      <c r="F373" t="s">
        <v>2384</v>
      </c>
      <c r="G373" t="str" cm="1">
        <f t="array" ref="G373">_xlfn.IFS(
ISNUMBER(SEARCH("hold",C373)),"hold",
ISNUMBER(SEARCH("youth",C373)),"youth",
ISNUMBER(SEARCH("juve",C373)),"youth",
OR(ISNUMBER(SEARCH("health",B373)),ISNUMBER(SEARCH("care ",B373)),ISNUMBER(SEARCH("psych",B373)),ISNUMBER(SEARCH("medical",B373)),ISNUMBER(SEARCH("hospital",B373))),"medical",
ISNUMBER(SEARCH("correct",B373)),"correctional",
ISNUMBER(SEARCH("process",B373)),"processing",
ISNUMBER(SEARCH("detention center",B373)),"detention",
ISNUMBER(SEARCH("detention fac",B373)),"detention",
ISNUMBER(SEARCH("staging",B373)),"staging",
ISNUMBER(SEARCH("prison",B373)),"prison",
ISNUMBER(SEARCH("penet",B373)),"prison",
ISNUMBER(SEARCH("jail",B373)),"jail",
ISNUMBER(SEARCH("detention",B373)),"detention",
ISNUMBER(SEARCH("sheriff",B373)),"sheriff/police",
ISNUMBER(SEARCH("police",B373)),"sheriff/police",
TRUE,""
)</f>
        <v>jail</v>
      </c>
      <c r="H373">
        <f>INDEX(Sheet2!B:B,MATCH(C373,Sheet2!A:A,0),1)</f>
        <v>130</v>
      </c>
      <c r="I373">
        <f>3-COUNTBLANK(D373:F373)</f>
        <v>2</v>
      </c>
      <c r="J373">
        <f>IF(I373&gt;=2,H373,0)</f>
        <v>130</v>
      </c>
    </row>
    <row r="374" spans="1:10" x14ac:dyDescent="0.3">
      <c r="A374" t="s">
        <v>795</v>
      </c>
      <c r="B374" t="s">
        <v>1186</v>
      </c>
      <c r="C374" t="s">
        <v>1187</v>
      </c>
      <c r="D374" t="s">
        <v>216</v>
      </c>
      <c r="E374" t="s">
        <v>2485</v>
      </c>
      <c r="G374" t="str" cm="1">
        <f t="array" ref="G374">_xlfn.IFS(
ISNUMBER(SEARCH("hold",C374)),"hold",
ISNUMBER(SEARCH("youth",C374)),"youth",
ISNUMBER(SEARCH("juve",C374)),"youth",
OR(ISNUMBER(SEARCH("health",B374)),ISNUMBER(SEARCH("care ",B374)),ISNUMBER(SEARCH("psych",B374)),ISNUMBER(SEARCH("medical",B374)),ISNUMBER(SEARCH("hospital",B374))),"medical",
ISNUMBER(SEARCH("correct",B374)),"correctional",
ISNUMBER(SEARCH("process",B374)),"processing",
ISNUMBER(SEARCH("detention center",B374)),"detention",
ISNUMBER(SEARCH("detention fac",B374)),"detention",
ISNUMBER(SEARCH("staging",B374)),"staging",
ISNUMBER(SEARCH("prison",B374)),"prison",
ISNUMBER(SEARCH("penet",B374)),"prison",
ISNUMBER(SEARCH("jail",B374)),"jail",
ISNUMBER(SEARCH("detention",B374)),"detention",
ISNUMBER(SEARCH("sheriff",B374)),"sheriff/police",
ISNUMBER(SEARCH("police",B374)),"sheriff/police",
TRUE,""
)</f>
        <v>hold</v>
      </c>
      <c r="H374">
        <f>INDEX(Sheet2!B:B,MATCH(C374,Sheet2!A:A,0),1)</f>
        <v>127</v>
      </c>
      <c r="I374">
        <f>3-COUNTBLANK(D374:F374)</f>
        <v>2</v>
      </c>
      <c r="J374">
        <f>IF(I374&gt;=2,H374,0)</f>
        <v>127</v>
      </c>
    </row>
    <row r="375" spans="1:10" x14ac:dyDescent="0.3">
      <c r="A375" t="s">
        <v>798</v>
      </c>
      <c r="B375" t="s">
        <v>631</v>
      </c>
      <c r="C375" t="s">
        <v>632</v>
      </c>
      <c r="D375" t="s">
        <v>152</v>
      </c>
      <c r="E375" t="s">
        <v>2486</v>
      </c>
      <c r="G375" t="str" cm="1">
        <f t="array" ref="G375">_xlfn.IFS(
ISNUMBER(SEARCH("hold",C375)),"hold",
ISNUMBER(SEARCH("youth",C375)),"youth",
ISNUMBER(SEARCH("juve",C375)),"youth",
OR(ISNUMBER(SEARCH("health",B375)),ISNUMBER(SEARCH("care ",B375)),ISNUMBER(SEARCH("psych",B375)),ISNUMBER(SEARCH("medical",B375)),ISNUMBER(SEARCH("hospital",B375))),"medical",
ISNUMBER(SEARCH("correct",B375)),"correctional",
ISNUMBER(SEARCH("process",B375)),"processing",
ISNUMBER(SEARCH("detention center",B375)),"detention",
ISNUMBER(SEARCH("detention fac",B375)),"detention",
ISNUMBER(SEARCH("staging",B375)),"staging",
ISNUMBER(SEARCH("prison",B375)),"prison",
ISNUMBER(SEARCH("penet",B375)),"prison",
ISNUMBER(SEARCH("jail",B375)),"jail",
ISNUMBER(SEARCH("detention",B375)),"detention",
ISNUMBER(SEARCH("sheriff",B375)),"sheriff/police",
ISNUMBER(SEARCH("police",B375)),"sheriff/police",
TRUE,""
)</f>
        <v>hold</v>
      </c>
      <c r="H375">
        <f>INDEX(Sheet2!B:B,MATCH(C375,Sheet2!A:A,0),1)</f>
        <v>126</v>
      </c>
      <c r="I375">
        <f>3-COUNTBLANK(D375:F375)</f>
        <v>2</v>
      </c>
      <c r="J375">
        <f>IF(I375&gt;=2,H375,0)</f>
        <v>126</v>
      </c>
    </row>
    <row r="376" spans="1:10" x14ac:dyDescent="0.3">
      <c r="A376" t="s">
        <v>801</v>
      </c>
      <c r="B376" t="s">
        <v>504</v>
      </c>
      <c r="C376" t="s">
        <v>505</v>
      </c>
      <c r="D376" t="s">
        <v>73</v>
      </c>
      <c r="E376" t="s">
        <v>2487</v>
      </c>
      <c r="G376" t="str" cm="1">
        <f t="array" ref="G376">_xlfn.IFS(
ISNUMBER(SEARCH("hold",C376)),"hold",
ISNUMBER(SEARCH("youth",C376)),"youth",
ISNUMBER(SEARCH("juve",C376)),"youth",
OR(ISNUMBER(SEARCH("health",B376)),ISNUMBER(SEARCH("care ",B376)),ISNUMBER(SEARCH("psych",B376)),ISNUMBER(SEARCH("medical",B376)),ISNUMBER(SEARCH("hospital",B376))),"medical",
ISNUMBER(SEARCH("correct",B376)),"correctional",
ISNUMBER(SEARCH("process",B376)),"processing",
ISNUMBER(SEARCH("detention center",B376)),"detention",
ISNUMBER(SEARCH("detention fac",B376)),"detention",
ISNUMBER(SEARCH("staging",B376)),"staging",
ISNUMBER(SEARCH("prison",B376)),"prison",
ISNUMBER(SEARCH("penet",B376)),"prison",
ISNUMBER(SEARCH("jail",B376)),"jail",
ISNUMBER(SEARCH("detention",B376)),"detention",
ISNUMBER(SEARCH("sheriff",B376)),"sheriff/police",
ISNUMBER(SEARCH("police",B376)),"sheriff/police",
TRUE,""
)</f>
        <v>hold</v>
      </c>
      <c r="H376">
        <f>INDEX(Sheet2!B:B,MATCH(C376,Sheet2!A:A,0),1)</f>
        <v>124</v>
      </c>
      <c r="I376">
        <f>3-COUNTBLANK(D376:F376)</f>
        <v>2</v>
      </c>
      <c r="J376">
        <f>IF(I376&gt;=2,H376,0)</f>
        <v>124</v>
      </c>
    </row>
    <row r="377" spans="1:10" x14ac:dyDescent="0.3">
      <c r="A377" t="s">
        <v>804</v>
      </c>
      <c r="B377" t="s">
        <v>2550</v>
      </c>
      <c r="C377" t="s">
        <v>107</v>
      </c>
      <c r="D377" t="s">
        <v>64</v>
      </c>
      <c r="E377" t="s">
        <v>2551</v>
      </c>
      <c r="G377" t="str" cm="1">
        <f t="array" ref="G377">_xlfn.IFS(
ISNUMBER(SEARCH("hold",C377)),"hold",
ISNUMBER(SEARCH("youth",C377)),"youth",
ISNUMBER(SEARCH("juve",C377)),"youth",
OR(ISNUMBER(SEARCH("health",B377)),ISNUMBER(SEARCH("care ",B377)),ISNUMBER(SEARCH("psych",B377)),ISNUMBER(SEARCH("medical",B377)),ISNUMBER(SEARCH("hospital",B377))),"medical",
ISNUMBER(SEARCH("correct",B377)),"correctional",
ISNUMBER(SEARCH("process",B377)),"processing",
ISNUMBER(SEARCH("detention center",B377)),"detention",
ISNUMBER(SEARCH("detention fac",B377)),"detention",
ISNUMBER(SEARCH("staging",B377)),"staging",
ISNUMBER(SEARCH("prison",B377)),"prison",
ISNUMBER(SEARCH("penet",B377)),"prison",
ISNUMBER(SEARCH("jail",B377)),"jail",
ISNUMBER(SEARCH("detention",B377)),"detention",
ISNUMBER(SEARCH("sheriff",B377)),"sheriff/police",
ISNUMBER(SEARCH("police",B377)),"sheriff/police",
TRUE,""
)</f>
        <v>correctional</v>
      </c>
      <c r="H377">
        <f>INDEX(Sheet2!B:B,MATCH(C377,Sheet2!A:A,0),1)</f>
        <v>122</v>
      </c>
      <c r="I377">
        <f>3-COUNTBLANK(D377:F377)</f>
        <v>2</v>
      </c>
      <c r="J377">
        <f>IF(I377&gt;=2,H377,0)</f>
        <v>122</v>
      </c>
    </row>
    <row r="378" spans="1:10" x14ac:dyDescent="0.3">
      <c r="A378" t="s">
        <v>807</v>
      </c>
      <c r="B378" t="s">
        <v>484</v>
      </c>
      <c r="C378" t="s">
        <v>485</v>
      </c>
      <c r="D378" t="s">
        <v>6</v>
      </c>
      <c r="F378" t="s">
        <v>2296</v>
      </c>
      <c r="G378" t="str" cm="1">
        <f t="array" ref="G378">_xlfn.IFS(
ISNUMBER(SEARCH("hold",C378)),"hold",
ISNUMBER(SEARCH("youth",C378)),"youth",
ISNUMBER(SEARCH("juve",C378)),"youth",
OR(ISNUMBER(SEARCH("health",B378)),ISNUMBER(SEARCH("care ",B378)),ISNUMBER(SEARCH("psych",B378)),ISNUMBER(SEARCH("medical",B378)),ISNUMBER(SEARCH("hospital",B378))),"medical",
ISNUMBER(SEARCH("correct",B378)),"correctional",
ISNUMBER(SEARCH("process",B378)),"processing",
ISNUMBER(SEARCH("detention center",B378)),"detention",
ISNUMBER(SEARCH("detention fac",B378)),"detention",
ISNUMBER(SEARCH("staging",B378)),"staging",
ISNUMBER(SEARCH("prison",B378)),"prison",
ISNUMBER(SEARCH("penet",B378)),"prison",
ISNUMBER(SEARCH("jail",B378)),"jail",
ISNUMBER(SEARCH("detention",B378)),"detention",
ISNUMBER(SEARCH("sheriff",B378)),"sheriff/police",
ISNUMBER(SEARCH("police",B378)),"sheriff/police",
TRUE,""
)</f>
        <v>jail</v>
      </c>
      <c r="H378">
        <f>INDEX(Sheet2!B:B,MATCH(C378,Sheet2!A:A,0),1)</f>
        <v>122</v>
      </c>
      <c r="I378">
        <f>3-COUNTBLANK(D378:F378)</f>
        <v>2</v>
      </c>
      <c r="J378">
        <f>IF(I378&gt;=2,H378,0)</f>
        <v>122</v>
      </c>
    </row>
    <row r="379" spans="1:10" x14ac:dyDescent="0.3">
      <c r="A379" t="s">
        <v>810</v>
      </c>
      <c r="B379" t="s">
        <v>652</v>
      </c>
      <c r="C379" t="s">
        <v>653</v>
      </c>
      <c r="D379" t="s">
        <v>82</v>
      </c>
      <c r="F379" t="s">
        <v>2243</v>
      </c>
      <c r="G379" t="str" cm="1">
        <f t="array" ref="G379">_xlfn.IFS(
ISNUMBER(SEARCH("hold",C379)),"hold",
ISNUMBER(SEARCH("youth",C379)),"youth",
ISNUMBER(SEARCH("juve",C379)),"youth",
OR(ISNUMBER(SEARCH("health",B379)),ISNUMBER(SEARCH("care ",B379)),ISNUMBER(SEARCH("psych",B379)),ISNUMBER(SEARCH("medical",B379)),ISNUMBER(SEARCH("hospital",B379))),"medical",
ISNUMBER(SEARCH("correct",B379)),"correctional",
ISNUMBER(SEARCH("process",B379)),"processing",
ISNUMBER(SEARCH("detention center",B379)),"detention",
ISNUMBER(SEARCH("detention fac",B379)),"detention",
ISNUMBER(SEARCH("staging",B379)),"staging",
ISNUMBER(SEARCH("prison",B379)),"prison",
ISNUMBER(SEARCH("penet",B379)),"prison",
ISNUMBER(SEARCH("jail",B379)),"jail",
ISNUMBER(SEARCH("detention",B379)),"detention",
ISNUMBER(SEARCH("sheriff",B379)),"sheriff/police",
ISNUMBER(SEARCH("police",B379)),"sheriff/police",
TRUE,""
)</f>
        <v>processing</v>
      </c>
      <c r="H379">
        <f>INDEX(Sheet2!B:B,MATCH(C379,Sheet2!A:A,0),1)</f>
        <v>121</v>
      </c>
      <c r="I379">
        <f>3-COUNTBLANK(D379:F379)</f>
        <v>2</v>
      </c>
      <c r="J379">
        <f>IF(I379&gt;=2,H379,0)</f>
        <v>121</v>
      </c>
    </row>
    <row r="380" spans="1:10" x14ac:dyDescent="0.3">
      <c r="A380" t="s">
        <v>753</v>
      </c>
      <c r="B380" t="s">
        <v>409</v>
      </c>
      <c r="C380" t="s">
        <v>410</v>
      </c>
      <c r="D380" t="s">
        <v>68</v>
      </c>
      <c r="F380" t="s">
        <v>2265</v>
      </c>
      <c r="G380" t="str" cm="1">
        <f t="array" ref="G380">_xlfn.IFS(
ISNUMBER(SEARCH("hold",C380)),"hold",
ISNUMBER(SEARCH("youth",C380)),"youth",
ISNUMBER(SEARCH("juve",C380)),"youth",
OR(ISNUMBER(SEARCH("health",B380)),ISNUMBER(SEARCH("care ",B380)),ISNUMBER(SEARCH("psych",B380)),ISNUMBER(SEARCH("medical",B380)),ISNUMBER(SEARCH("hospital",B380))),"medical",
ISNUMBER(SEARCH("correct",B380)),"correctional",
ISNUMBER(SEARCH("process",B380)),"processing",
ISNUMBER(SEARCH("detention center",B380)),"detention",
ISNUMBER(SEARCH("detention fac",B380)),"detention",
ISNUMBER(SEARCH("staging",B380)),"staging",
ISNUMBER(SEARCH("prison",B380)),"prison",
ISNUMBER(SEARCH("penet",B380)),"prison",
ISNUMBER(SEARCH("jail",B380)),"jail",
ISNUMBER(SEARCH("detention",B380)),"detention",
ISNUMBER(SEARCH("sheriff",B380)),"sheriff/police",
ISNUMBER(SEARCH("police",B380)),"sheriff/police",
TRUE,""
)</f>
        <v>sheriff/police</v>
      </c>
      <c r="H380">
        <f>INDEX(Sheet2!B:B,MATCH(C380,Sheet2!A:A,0),1)</f>
        <v>151</v>
      </c>
      <c r="I380">
        <f>3-COUNTBLANK(D380:F380)</f>
        <v>2</v>
      </c>
      <c r="J380">
        <f>IF(I380&gt;=2,H380,0)</f>
        <v>151</v>
      </c>
    </row>
    <row r="381" spans="1:10" x14ac:dyDescent="0.3">
      <c r="A381" t="s">
        <v>817</v>
      </c>
      <c r="B381" t="s">
        <v>1783</v>
      </c>
      <c r="C381" t="s">
        <v>1784</v>
      </c>
      <c r="D381" t="s">
        <v>159</v>
      </c>
      <c r="F381" t="s">
        <v>2287</v>
      </c>
      <c r="G381" t="str" cm="1">
        <f t="array" ref="G381">_xlfn.IFS(
ISNUMBER(SEARCH("hold",C381)),"hold",
ISNUMBER(SEARCH("youth",C381)),"youth",
ISNUMBER(SEARCH("juve",C381)),"youth",
OR(ISNUMBER(SEARCH("health",B381)),ISNUMBER(SEARCH("care ",B381)),ISNUMBER(SEARCH("psych",B381)),ISNUMBER(SEARCH("medical",B381)),ISNUMBER(SEARCH("hospital",B381))),"medical",
ISNUMBER(SEARCH("correct",B381)),"correctional",
ISNUMBER(SEARCH("process",B381)),"processing",
ISNUMBER(SEARCH("detention center",B381)),"detention",
ISNUMBER(SEARCH("detention fac",B381)),"detention",
ISNUMBER(SEARCH("staging",B381)),"staging",
ISNUMBER(SEARCH("prison",B381)),"prison",
ISNUMBER(SEARCH("penet",B381)),"prison",
ISNUMBER(SEARCH("jail",B381)),"jail",
ISNUMBER(SEARCH("detention",B381)),"detention",
ISNUMBER(SEARCH("sheriff",B381)),"sheriff/police",
ISNUMBER(SEARCH("police",B381)),"sheriff/police",
TRUE,""
)</f>
        <v>jail</v>
      </c>
      <c r="H381">
        <f>INDEX(Sheet2!B:B,MATCH(C381,Sheet2!A:A,0),1)</f>
        <v>115</v>
      </c>
      <c r="I381">
        <f>3-COUNTBLANK(D381:F381)</f>
        <v>2</v>
      </c>
      <c r="J381">
        <f>IF(I381&gt;=2,H381,0)</f>
        <v>115</v>
      </c>
    </row>
    <row r="382" spans="1:10" x14ac:dyDescent="0.3">
      <c r="A382" t="s">
        <v>555</v>
      </c>
      <c r="B382" t="s">
        <v>444</v>
      </c>
      <c r="C382" t="s">
        <v>445</v>
      </c>
      <c r="D382" t="s">
        <v>72</v>
      </c>
      <c r="G382" t="str" cm="1">
        <f t="array" ref="G382">_xlfn.IFS(
ISNUMBER(SEARCH("hold",C382)),"hold",
ISNUMBER(SEARCH("youth",C382)),"youth",
ISNUMBER(SEARCH("juve",C382)),"youth",
OR(ISNUMBER(SEARCH("health",B382)),ISNUMBER(SEARCH("care ",B382)),ISNUMBER(SEARCH("psych",B382)),ISNUMBER(SEARCH("medical",B382)),ISNUMBER(SEARCH("hospital",B382))),"medical",
ISNUMBER(SEARCH("correct",B382)),"correctional",
ISNUMBER(SEARCH("process",B382)),"processing",
ISNUMBER(SEARCH("detention center",B382)),"detention",
ISNUMBER(SEARCH("detention fac",B382)),"detention",
ISNUMBER(SEARCH("staging",B382)),"staging",
ISNUMBER(SEARCH("prison",B382)),"prison",
ISNUMBER(SEARCH("penet",B382)),"prison",
ISNUMBER(SEARCH("jail",B382)),"jail",
ISNUMBER(SEARCH("detention",B382)),"detention",
ISNUMBER(SEARCH("sheriff",B382)),"sheriff/police",
ISNUMBER(SEARCH("police",B382)),"sheriff/police",
TRUE,""
)</f>
        <v/>
      </c>
      <c r="H382">
        <f>INDEX(Sheet2!B:B,MATCH(C382,Sheet2!A:A,0),1)</f>
        <v>335</v>
      </c>
      <c r="I382">
        <f>3-COUNTBLANK(D382:F382)</f>
        <v>1</v>
      </c>
      <c r="J382">
        <f>IF(I382&gt;=2,H382,0)</f>
        <v>0</v>
      </c>
    </row>
    <row r="383" spans="1:10" x14ac:dyDescent="0.3">
      <c r="A383" t="s">
        <v>823</v>
      </c>
      <c r="B383" t="s">
        <v>1259</v>
      </c>
      <c r="C383" t="s">
        <v>1260</v>
      </c>
      <c r="D383" t="s">
        <v>6</v>
      </c>
      <c r="F383" t="s">
        <v>2354</v>
      </c>
      <c r="G383" t="str" cm="1">
        <f t="array" ref="G383">_xlfn.IFS(
ISNUMBER(SEARCH("hold",C383)),"hold",
ISNUMBER(SEARCH("youth",C383)),"youth",
ISNUMBER(SEARCH("juve",C383)),"youth",
OR(ISNUMBER(SEARCH("health",B383)),ISNUMBER(SEARCH("care ",B383)),ISNUMBER(SEARCH("psych",B383)),ISNUMBER(SEARCH("medical",B383)),ISNUMBER(SEARCH("hospital",B383))),"medical",
ISNUMBER(SEARCH("correct",B383)),"correctional",
ISNUMBER(SEARCH("process",B383)),"processing",
ISNUMBER(SEARCH("detention center",B383)),"detention",
ISNUMBER(SEARCH("detention fac",B383)),"detention",
ISNUMBER(SEARCH("staging",B383)),"staging",
ISNUMBER(SEARCH("prison",B383)),"prison",
ISNUMBER(SEARCH("penet",B383)),"prison",
ISNUMBER(SEARCH("jail",B383)),"jail",
ISNUMBER(SEARCH("detention",B383)),"detention",
ISNUMBER(SEARCH("sheriff",B383)),"sheriff/police",
ISNUMBER(SEARCH("police",B383)),"sheriff/police",
TRUE,""
)</f>
        <v>jail</v>
      </c>
      <c r="H383">
        <f>INDEX(Sheet2!B:B,MATCH(C383,Sheet2!A:A,0),1)</f>
        <v>113</v>
      </c>
      <c r="I383">
        <f>3-COUNTBLANK(D383:F383)</f>
        <v>2</v>
      </c>
      <c r="J383">
        <f>IF(I383&gt;=2,H383,0)</f>
        <v>113</v>
      </c>
    </row>
    <row r="384" spans="1:10" x14ac:dyDescent="0.3">
      <c r="A384" t="s">
        <v>826</v>
      </c>
      <c r="B384" t="s">
        <v>1118</v>
      </c>
      <c r="C384" t="s">
        <v>1119</v>
      </c>
      <c r="D384" t="s">
        <v>200</v>
      </c>
      <c r="E384" t="s">
        <v>2488</v>
      </c>
      <c r="G384" t="str" cm="1">
        <f t="array" ref="G384">_xlfn.IFS(
ISNUMBER(SEARCH("hold",C384)),"hold",
ISNUMBER(SEARCH("youth",C384)),"youth",
ISNUMBER(SEARCH("juve",C384)),"youth",
OR(ISNUMBER(SEARCH("health",B384)),ISNUMBER(SEARCH("care ",B384)),ISNUMBER(SEARCH("psych",B384)),ISNUMBER(SEARCH("medical",B384)),ISNUMBER(SEARCH("hospital",B384))),"medical",
ISNUMBER(SEARCH("correct",B384)),"correctional",
ISNUMBER(SEARCH("process",B384)),"processing",
ISNUMBER(SEARCH("detention center",B384)),"detention",
ISNUMBER(SEARCH("detention fac",B384)),"detention",
ISNUMBER(SEARCH("staging",B384)),"staging",
ISNUMBER(SEARCH("prison",B384)),"prison",
ISNUMBER(SEARCH("penet",B384)),"prison",
ISNUMBER(SEARCH("jail",B384)),"jail",
ISNUMBER(SEARCH("detention",B384)),"detention",
ISNUMBER(SEARCH("sheriff",B384)),"sheriff/police",
ISNUMBER(SEARCH("police",B384)),"sheriff/police",
TRUE,""
)</f>
        <v>hold</v>
      </c>
      <c r="H384">
        <f>INDEX(Sheet2!B:B,MATCH(C384,Sheet2!A:A,0),1)</f>
        <v>111</v>
      </c>
      <c r="I384">
        <f>3-COUNTBLANK(D384:F384)</f>
        <v>2</v>
      </c>
      <c r="J384">
        <f>IF(I384&gt;=2,H384,0)</f>
        <v>111</v>
      </c>
    </row>
    <row r="385" spans="1:10" x14ac:dyDescent="0.3">
      <c r="A385" t="s">
        <v>829</v>
      </c>
      <c r="B385" t="s">
        <v>346</v>
      </c>
      <c r="C385" t="s">
        <v>347</v>
      </c>
      <c r="D385" t="s">
        <v>159</v>
      </c>
      <c r="F385" t="s">
        <v>2318</v>
      </c>
      <c r="G385" t="str" cm="1">
        <f t="array" ref="G385">_xlfn.IFS(
ISNUMBER(SEARCH("hold",C385)),"hold",
ISNUMBER(SEARCH("youth",C385)),"youth",
ISNUMBER(SEARCH("juve",C385)),"youth",
OR(ISNUMBER(SEARCH("health",B385)),ISNUMBER(SEARCH("care ",B385)),ISNUMBER(SEARCH("psych",B385)),ISNUMBER(SEARCH("medical",B385)),ISNUMBER(SEARCH("hospital",B385))),"medical",
ISNUMBER(SEARCH("correct",B385)),"correctional",
ISNUMBER(SEARCH("process",B385)),"processing",
ISNUMBER(SEARCH("detention center",B385)),"detention",
ISNUMBER(SEARCH("detention fac",B385)),"detention",
ISNUMBER(SEARCH("staging",B385)),"staging",
ISNUMBER(SEARCH("prison",B385)),"prison",
ISNUMBER(SEARCH("penet",B385)),"prison",
ISNUMBER(SEARCH("jail",B385)),"jail",
ISNUMBER(SEARCH("detention",B385)),"detention",
ISNUMBER(SEARCH("sheriff",B385)),"sheriff/police",
ISNUMBER(SEARCH("police",B385)),"sheriff/police",
TRUE,""
)</f>
        <v>jail</v>
      </c>
      <c r="H385">
        <f>INDEX(Sheet2!B:B,MATCH(C385,Sheet2!A:A,0),1)</f>
        <v>110</v>
      </c>
      <c r="I385">
        <f>3-COUNTBLANK(D385:F385)</f>
        <v>2</v>
      </c>
      <c r="J385">
        <f>IF(I385&gt;=2,H385,0)</f>
        <v>110</v>
      </c>
    </row>
    <row r="386" spans="1:10" x14ac:dyDescent="0.3">
      <c r="A386" t="s">
        <v>832</v>
      </c>
      <c r="B386" t="s">
        <v>903</v>
      </c>
      <c r="C386" t="s">
        <v>904</v>
      </c>
      <c r="D386" t="s">
        <v>42</v>
      </c>
      <c r="F386" t="s">
        <v>43</v>
      </c>
      <c r="G386" t="str" cm="1">
        <f t="array" ref="G386">_xlfn.IFS(
ISNUMBER(SEARCH("hold",C386)),"hold",
ISNUMBER(SEARCH("youth",C386)),"youth",
ISNUMBER(SEARCH("juve",C386)),"youth",
OR(ISNUMBER(SEARCH("health",B386)),ISNUMBER(SEARCH("care ",B386)),ISNUMBER(SEARCH("psych",B386)),ISNUMBER(SEARCH("medical",B386)),ISNUMBER(SEARCH("hospital",B386))),"medical",
ISNUMBER(SEARCH("correct",B386)),"correctional",
ISNUMBER(SEARCH("process",B386)),"processing",
ISNUMBER(SEARCH("detention center",B386)),"detention",
ISNUMBER(SEARCH("detention fac",B386)),"detention",
ISNUMBER(SEARCH("staging",B386)),"staging",
ISNUMBER(SEARCH("prison",B386)),"prison",
ISNUMBER(SEARCH("penet",B386)),"prison",
ISNUMBER(SEARCH("jail",B386)),"jail",
ISNUMBER(SEARCH("detention",B386)),"detention",
ISNUMBER(SEARCH("sheriff",B386)),"sheriff/police",
ISNUMBER(SEARCH("police",B386)),"sheriff/police",
TRUE,""
)</f>
        <v>medical</v>
      </c>
      <c r="H386">
        <f>INDEX(Sheet2!B:B,MATCH(C386,Sheet2!A:A,0),1)</f>
        <v>109</v>
      </c>
      <c r="I386">
        <f>3-COUNTBLANK(D386:F386)</f>
        <v>2</v>
      </c>
      <c r="J386">
        <f>IF(I386&gt;=2,H386,0)</f>
        <v>109</v>
      </c>
    </row>
    <row r="387" spans="1:10" x14ac:dyDescent="0.3">
      <c r="A387" t="s">
        <v>835</v>
      </c>
      <c r="B387" t="s">
        <v>1277</v>
      </c>
      <c r="C387" t="s">
        <v>1278</v>
      </c>
      <c r="D387" t="s">
        <v>88</v>
      </c>
      <c r="E387" t="s">
        <v>2489</v>
      </c>
      <c r="G387" t="str" cm="1">
        <f t="array" ref="G387">_xlfn.IFS(
ISNUMBER(SEARCH("hold",C387)),"hold",
ISNUMBER(SEARCH("youth",C387)),"youth",
ISNUMBER(SEARCH("juve",C387)),"youth",
OR(ISNUMBER(SEARCH("health",B387)),ISNUMBER(SEARCH("care ",B387)),ISNUMBER(SEARCH("psych",B387)),ISNUMBER(SEARCH("medical",B387)),ISNUMBER(SEARCH("hospital",B387))),"medical",
ISNUMBER(SEARCH("correct",B387)),"correctional",
ISNUMBER(SEARCH("process",B387)),"processing",
ISNUMBER(SEARCH("detention center",B387)),"detention",
ISNUMBER(SEARCH("detention fac",B387)),"detention",
ISNUMBER(SEARCH("staging",B387)),"staging",
ISNUMBER(SEARCH("prison",B387)),"prison",
ISNUMBER(SEARCH("penet",B387)),"prison",
ISNUMBER(SEARCH("jail",B387)),"jail",
ISNUMBER(SEARCH("detention",B387)),"detention",
ISNUMBER(SEARCH("sheriff",B387)),"sheriff/police",
ISNUMBER(SEARCH("police",B387)),"sheriff/police",
TRUE,""
)</f>
        <v>hold</v>
      </c>
      <c r="H387">
        <f>INDEX(Sheet2!B:B,MATCH(C387,Sheet2!A:A,0),1)</f>
        <v>108</v>
      </c>
      <c r="I387">
        <f>3-COUNTBLANK(D387:F387)</f>
        <v>2</v>
      </c>
      <c r="J387">
        <f>IF(I387&gt;=2,H387,0)</f>
        <v>108</v>
      </c>
    </row>
    <row r="388" spans="1:10" x14ac:dyDescent="0.3">
      <c r="A388" t="s">
        <v>838</v>
      </c>
      <c r="B388" t="s">
        <v>1650</v>
      </c>
      <c r="C388" t="s">
        <v>1651</v>
      </c>
      <c r="D388" t="s">
        <v>72</v>
      </c>
      <c r="E388" t="s">
        <v>2416</v>
      </c>
      <c r="G388" t="str" cm="1">
        <f t="array" ref="G388">_xlfn.IFS(
ISNUMBER(SEARCH("hold",C388)),"hold",
ISNUMBER(SEARCH("youth",C388)),"youth",
ISNUMBER(SEARCH("juve",C388)),"youth",
OR(ISNUMBER(SEARCH("health",B388)),ISNUMBER(SEARCH("care ",B388)),ISNUMBER(SEARCH("psych",B388)),ISNUMBER(SEARCH("medical",B388)),ISNUMBER(SEARCH("hospital",B388))),"medical",
ISNUMBER(SEARCH("correct",B388)),"correctional",
ISNUMBER(SEARCH("process",B388)),"processing",
ISNUMBER(SEARCH("detention center",B388)),"detention",
ISNUMBER(SEARCH("detention fac",B388)),"detention",
ISNUMBER(SEARCH("staging",B388)),"staging",
ISNUMBER(SEARCH("prison",B388)),"prison",
ISNUMBER(SEARCH("penet",B388)),"prison",
ISNUMBER(SEARCH("jail",B388)),"jail",
ISNUMBER(SEARCH("detention",B388)),"detention",
ISNUMBER(SEARCH("sheriff",B388)),"sheriff/police",
ISNUMBER(SEARCH("police",B388)),"sheriff/police",
TRUE,""
)</f>
        <v>hold</v>
      </c>
      <c r="H388">
        <f>INDEX(Sheet2!B:B,MATCH(C388,Sheet2!A:A,0),1)</f>
        <v>107</v>
      </c>
      <c r="I388">
        <f>3-COUNTBLANK(D388:F388)</f>
        <v>2</v>
      </c>
      <c r="J388">
        <f>IF(I388&gt;=2,H388,0)</f>
        <v>107</v>
      </c>
    </row>
    <row r="389" spans="1:10" x14ac:dyDescent="0.3">
      <c r="A389" t="s">
        <v>842</v>
      </c>
      <c r="B389" t="s">
        <v>1192</v>
      </c>
      <c r="C389" t="s">
        <v>1193</v>
      </c>
      <c r="G389" t="str" cm="1">
        <f t="array" ref="G389">_xlfn.IFS(
ISNUMBER(SEARCH("hold",C389)),"hold",
ISNUMBER(SEARCH("youth",C389)),"youth",
ISNUMBER(SEARCH("juve",C389)),"youth",
OR(ISNUMBER(SEARCH("health",B389)),ISNUMBER(SEARCH("care ",B389)),ISNUMBER(SEARCH("psych",B389)),ISNUMBER(SEARCH("medical",B389)),ISNUMBER(SEARCH("hospital",B389))),"medical",
ISNUMBER(SEARCH("correct",B389)),"correctional",
ISNUMBER(SEARCH("process",B389)),"processing",
ISNUMBER(SEARCH("detention center",B389)),"detention",
ISNUMBER(SEARCH("detention fac",B389)),"detention",
ISNUMBER(SEARCH("staging",B389)),"staging",
ISNUMBER(SEARCH("prison",B389)),"prison",
ISNUMBER(SEARCH("penet",B389)),"prison",
ISNUMBER(SEARCH("jail",B389)),"jail",
ISNUMBER(SEARCH("detention",B389)),"detention",
ISNUMBER(SEARCH("sheriff",B389)),"sheriff/police",
ISNUMBER(SEARCH("police",B389)),"sheriff/police",
TRUE,""
)</f>
        <v>correctional</v>
      </c>
      <c r="H389">
        <f>INDEX(Sheet2!B:B,MATCH(C389,Sheet2!A:A,0),1)</f>
        <v>107</v>
      </c>
      <c r="I389">
        <f>3-COUNTBLANK(D389:F389)</f>
        <v>0</v>
      </c>
      <c r="J389">
        <f>IF(I389&gt;=2,H389,0)</f>
        <v>0</v>
      </c>
    </row>
    <row r="390" spans="1:10" x14ac:dyDescent="0.3">
      <c r="A390" t="s">
        <v>845</v>
      </c>
      <c r="B390" t="s">
        <v>1349</v>
      </c>
      <c r="C390" t="s">
        <v>1350</v>
      </c>
      <c r="D390" t="s">
        <v>6</v>
      </c>
      <c r="F390" t="s">
        <v>2372</v>
      </c>
      <c r="G390" t="str" cm="1">
        <f t="array" ref="G390">_xlfn.IFS(
ISNUMBER(SEARCH("hold",C390)),"hold",
ISNUMBER(SEARCH("youth",C390)),"youth",
ISNUMBER(SEARCH("juve",C390)),"youth",
OR(ISNUMBER(SEARCH("health",B390)),ISNUMBER(SEARCH("care ",B390)),ISNUMBER(SEARCH("psych",B390)),ISNUMBER(SEARCH("medical",B390)),ISNUMBER(SEARCH("hospital",B390))),"medical",
ISNUMBER(SEARCH("correct",B390)),"correctional",
ISNUMBER(SEARCH("process",B390)),"processing",
ISNUMBER(SEARCH("detention center",B390)),"detention",
ISNUMBER(SEARCH("detention fac",B390)),"detention",
ISNUMBER(SEARCH("staging",B390)),"staging",
ISNUMBER(SEARCH("prison",B390)),"prison",
ISNUMBER(SEARCH("penet",B390)),"prison",
ISNUMBER(SEARCH("jail",B390)),"jail",
ISNUMBER(SEARCH("detention",B390)),"detention",
ISNUMBER(SEARCH("sheriff",B390)),"sheriff/police",
ISNUMBER(SEARCH("police",B390)),"sheriff/police",
TRUE,""
)</f>
        <v>jail</v>
      </c>
      <c r="H390">
        <f>INDEX(Sheet2!B:B,MATCH(C390,Sheet2!A:A,0),1)</f>
        <v>107</v>
      </c>
      <c r="I390">
        <f>3-COUNTBLANK(D390:F390)</f>
        <v>2</v>
      </c>
      <c r="J390">
        <f>IF(I390&gt;=2,H390,0)</f>
        <v>107</v>
      </c>
    </row>
    <row r="391" spans="1:10" x14ac:dyDescent="0.3">
      <c r="A391" t="s">
        <v>1992</v>
      </c>
      <c r="B391" t="s">
        <v>1881</v>
      </c>
      <c r="C391" t="s">
        <v>1882</v>
      </c>
      <c r="D391" t="s">
        <v>50</v>
      </c>
      <c r="F391" t="s">
        <v>2239</v>
      </c>
      <c r="G391" t="str" cm="1">
        <f t="array" ref="G391">_xlfn.IFS(
ISNUMBER(SEARCH("hold",C391)),"hold",
ISNUMBER(SEARCH("youth",C391)),"youth",
ISNUMBER(SEARCH("juve",C391)),"youth",
OR(ISNUMBER(SEARCH("health",B391)),ISNUMBER(SEARCH("care ",B391)),ISNUMBER(SEARCH("psych",B391)),ISNUMBER(SEARCH("medical",B391)),ISNUMBER(SEARCH("hospital",B391))),"medical",
ISNUMBER(SEARCH("correct",B391)),"correctional",
ISNUMBER(SEARCH("process",B391)),"processing",
ISNUMBER(SEARCH("detention center",B391)),"detention",
ISNUMBER(SEARCH("detention fac",B391)),"detention",
ISNUMBER(SEARCH("staging",B391)),"staging",
ISNUMBER(SEARCH("prison",B391)),"prison",
ISNUMBER(SEARCH("penet",B391)),"prison",
ISNUMBER(SEARCH("jail",B391)),"jail",
ISNUMBER(SEARCH("detention",B391)),"detention",
ISNUMBER(SEARCH("sheriff",B391)),"sheriff/police",
ISNUMBER(SEARCH("police",B391)),"sheriff/police",
TRUE,""
)</f>
        <v>jail</v>
      </c>
      <c r="H391">
        <f>INDEX(Sheet2!B:B,MATCH(C391,Sheet2!A:A,0),1)</f>
        <v>106</v>
      </c>
      <c r="I391">
        <f>3-COUNTBLANK(D391:F391)</f>
        <v>2</v>
      </c>
      <c r="J391">
        <f>IF(I391&gt;=2,H391,0)</f>
        <v>106</v>
      </c>
    </row>
    <row r="392" spans="1:10" x14ac:dyDescent="0.3">
      <c r="A392" t="s">
        <v>848</v>
      </c>
      <c r="B392" t="s">
        <v>520</v>
      </c>
      <c r="C392" t="s">
        <v>521</v>
      </c>
      <c r="D392" t="s">
        <v>72</v>
      </c>
      <c r="G392" t="str" cm="1">
        <f t="array" ref="G392">_xlfn.IFS(
ISNUMBER(SEARCH("hold",C392)),"hold",
ISNUMBER(SEARCH("youth",C392)),"youth",
ISNUMBER(SEARCH("juve",C392)),"youth",
OR(ISNUMBER(SEARCH("health",B392)),ISNUMBER(SEARCH("care ",B392)),ISNUMBER(SEARCH("psych",B392)),ISNUMBER(SEARCH("medical",B392)),ISNUMBER(SEARCH("hospital",B392))),"medical",
ISNUMBER(SEARCH("correct",B392)),"correctional",
ISNUMBER(SEARCH("process",B392)),"processing",
ISNUMBER(SEARCH("detention center",B392)),"detention",
ISNUMBER(SEARCH("detention fac",B392)),"detention",
ISNUMBER(SEARCH("staging",B392)),"staging",
ISNUMBER(SEARCH("prison",B392)),"prison",
ISNUMBER(SEARCH("penet",B392)),"prison",
ISNUMBER(SEARCH("jail",B392)),"jail",
ISNUMBER(SEARCH("detention",B392)),"detention",
ISNUMBER(SEARCH("sheriff",B392)),"sheriff/police",
ISNUMBER(SEARCH("police",B392)),"sheriff/police",
TRUE,""
)</f>
        <v>detention</v>
      </c>
      <c r="H392">
        <f>INDEX(Sheet2!B:B,MATCH(C392,Sheet2!A:A,0),1)</f>
        <v>104</v>
      </c>
      <c r="I392">
        <f>3-COUNTBLANK(D392:F392)</f>
        <v>1</v>
      </c>
      <c r="J392">
        <f>IF(I392&gt;=2,H392,0)</f>
        <v>0</v>
      </c>
    </row>
    <row r="393" spans="1:10" x14ac:dyDescent="0.3">
      <c r="A393" t="s">
        <v>848</v>
      </c>
      <c r="B393" t="s">
        <v>607</v>
      </c>
      <c r="C393" t="s">
        <v>608</v>
      </c>
      <c r="D393" t="s">
        <v>6</v>
      </c>
      <c r="F393" t="s">
        <v>923</v>
      </c>
      <c r="G393" t="str" cm="1">
        <f t="array" ref="G393">_xlfn.IFS(
ISNUMBER(SEARCH("hold",C393)),"hold",
ISNUMBER(SEARCH("youth",C393)),"youth",
ISNUMBER(SEARCH("juve",C393)),"youth",
OR(ISNUMBER(SEARCH("health",B393)),ISNUMBER(SEARCH("care ",B393)),ISNUMBER(SEARCH("psych",B393)),ISNUMBER(SEARCH("medical",B393)),ISNUMBER(SEARCH("hospital",B393))),"medical",
ISNUMBER(SEARCH("correct",B393)),"correctional",
ISNUMBER(SEARCH("process",B393)),"processing",
ISNUMBER(SEARCH("detention center",B393)),"detention",
ISNUMBER(SEARCH("detention fac",B393)),"detention",
ISNUMBER(SEARCH("staging",B393)),"staging",
ISNUMBER(SEARCH("prison",B393)),"prison",
ISNUMBER(SEARCH("penet",B393)),"prison",
ISNUMBER(SEARCH("jail",B393)),"jail",
ISNUMBER(SEARCH("detention",B393)),"detention",
ISNUMBER(SEARCH("sheriff",B393)),"sheriff/police",
ISNUMBER(SEARCH("police",B393)),"sheriff/police",
TRUE,""
)</f>
        <v>jail</v>
      </c>
      <c r="H393">
        <f>INDEX(Sheet2!B:B,MATCH(C393,Sheet2!A:A,0),1)</f>
        <v>104</v>
      </c>
      <c r="I393">
        <f>3-COUNTBLANK(D393:F393)</f>
        <v>2</v>
      </c>
      <c r="J393">
        <f>IF(I393&gt;=2,H393,0)</f>
        <v>104</v>
      </c>
    </row>
    <row r="394" spans="1:10" x14ac:dyDescent="0.3">
      <c r="A394" t="s">
        <v>853</v>
      </c>
      <c r="B394" t="s">
        <v>147</v>
      </c>
      <c r="C394" t="s">
        <v>148</v>
      </c>
      <c r="D394" t="s">
        <v>72</v>
      </c>
      <c r="G394" t="str" cm="1">
        <f t="array" ref="G394">_xlfn.IFS(
ISNUMBER(SEARCH("hold",C394)),"hold",
ISNUMBER(SEARCH("youth",C394)),"youth",
ISNUMBER(SEARCH("juve",C394)),"youth",
OR(ISNUMBER(SEARCH("health",B394)),ISNUMBER(SEARCH("care ",B394)),ISNUMBER(SEARCH("psych",B394)),ISNUMBER(SEARCH("medical",B394)),ISNUMBER(SEARCH("hospital",B394))),"medical",
ISNUMBER(SEARCH("correct",B394)),"correctional",
ISNUMBER(SEARCH("process",B394)),"processing",
ISNUMBER(SEARCH("detention center",B394)),"detention",
ISNUMBER(SEARCH("detention fac",B394)),"detention",
ISNUMBER(SEARCH("staging",B394)),"staging",
ISNUMBER(SEARCH("prison",B394)),"prison",
ISNUMBER(SEARCH("penet",B394)),"prison",
ISNUMBER(SEARCH("jail",B394)),"jail",
ISNUMBER(SEARCH("detention",B394)),"detention",
ISNUMBER(SEARCH("sheriff",B394)),"sheriff/police",
ISNUMBER(SEARCH("police",B394)),"sheriff/police",
TRUE,""
)</f>
        <v>medical</v>
      </c>
      <c r="H394">
        <f>INDEX(Sheet2!B:B,MATCH(C394,Sheet2!A:A,0),1)</f>
        <v>102</v>
      </c>
      <c r="I394">
        <f>3-COUNTBLANK(D394:F394)</f>
        <v>1</v>
      </c>
      <c r="J394">
        <f>IF(I394&gt;=2,H394,0)</f>
        <v>0</v>
      </c>
    </row>
    <row r="395" spans="1:10" x14ac:dyDescent="0.3">
      <c r="A395" t="s">
        <v>856</v>
      </c>
      <c r="B395" t="s">
        <v>999</v>
      </c>
      <c r="C395" t="s">
        <v>1000</v>
      </c>
      <c r="D395" t="s">
        <v>31</v>
      </c>
      <c r="G395" t="str" cm="1">
        <f t="array" ref="G395">_xlfn.IFS(
ISNUMBER(SEARCH("hold",C395)),"hold",
ISNUMBER(SEARCH("youth",C395)),"youth",
ISNUMBER(SEARCH("juve",C395)),"youth",
OR(ISNUMBER(SEARCH("health",B395)),ISNUMBER(SEARCH("care ",B395)),ISNUMBER(SEARCH("psych",B395)),ISNUMBER(SEARCH("medical",B395)),ISNUMBER(SEARCH("hospital",B395))),"medical",
ISNUMBER(SEARCH("correct",B395)),"correctional",
ISNUMBER(SEARCH("process",B395)),"processing",
ISNUMBER(SEARCH("detention center",B395)),"detention",
ISNUMBER(SEARCH("detention fac",B395)),"detention",
ISNUMBER(SEARCH("staging",B395)),"staging",
ISNUMBER(SEARCH("prison",B395)),"prison",
ISNUMBER(SEARCH("penet",B395)),"prison",
ISNUMBER(SEARCH("jail",B395)),"jail",
ISNUMBER(SEARCH("detention",B395)),"detention",
ISNUMBER(SEARCH("sheriff",B395)),"sheriff/police",
ISNUMBER(SEARCH("police",B395)),"sheriff/police",
TRUE,""
)</f>
        <v>medical</v>
      </c>
      <c r="H395">
        <f>INDEX(Sheet2!B:B,MATCH(C395,Sheet2!A:A,0),1)</f>
        <v>100</v>
      </c>
      <c r="I395">
        <f>3-COUNTBLANK(D395:F395)</f>
        <v>1</v>
      </c>
      <c r="J395">
        <f>IF(I395&gt;=2,H395,0)</f>
        <v>0</v>
      </c>
    </row>
    <row r="396" spans="1:10" x14ac:dyDescent="0.3">
      <c r="A396" t="s">
        <v>859</v>
      </c>
      <c r="B396" t="s">
        <v>799</v>
      </c>
      <c r="C396" t="s">
        <v>800</v>
      </c>
      <c r="D396" t="s">
        <v>116</v>
      </c>
      <c r="G396" t="str" cm="1">
        <f t="array" ref="G396">_xlfn.IFS(
ISNUMBER(SEARCH("hold",C396)),"hold",
ISNUMBER(SEARCH("youth",C396)),"youth",
ISNUMBER(SEARCH("juve",C396)),"youth",
OR(ISNUMBER(SEARCH("health",B396)),ISNUMBER(SEARCH("care ",B396)),ISNUMBER(SEARCH("psych",B396)),ISNUMBER(SEARCH("medical",B396)),ISNUMBER(SEARCH("hospital",B396))),"medical",
ISNUMBER(SEARCH("correct",B396)),"correctional",
ISNUMBER(SEARCH("process",B396)),"processing",
ISNUMBER(SEARCH("detention center",B396)),"detention",
ISNUMBER(SEARCH("detention fac",B396)),"detention",
ISNUMBER(SEARCH("staging",B396)),"staging",
ISNUMBER(SEARCH("prison",B396)),"prison",
ISNUMBER(SEARCH("penet",B396)),"prison",
ISNUMBER(SEARCH("jail",B396)),"jail",
ISNUMBER(SEARCH("detention",B396)),"detention",
ISNUMBER(SEARCH("sheriff",B396)),"sheriff/police",
ISNUMBER(SEARCH("police",B396)),"sheriff/police",
TRUE,""
)</f>
        <v>correctional</v>
      </c>
      <c r="H396">
        <f>INDEX(Sheet2!B:B,MATCH(C396,Sheet2!A:A,0),1)</f>
        <v>99</v>
      </c>
      <c r="I396">
        <f>3-COUNTBLANK(D396:F396)</f>
        <v>1</v>
      </c>
      <c r="J396">
        <f>IF(I396&gt;=2,H396,0)</f>
        <v>0</v>
      </c>
    </row>
    <row r="397" spans="1:10" x14ac:dyDescent="0.3">
      <c r="A397" t="s">
        <v>862</v>
      </c>
      <c r="B397" t="s">
        <v>869</v>
      </c>
      <c r="C397" t="s">
        <v>870</v>
      </c>
      <c r="D397" t="s">
        <v>23</v>
      </c>
      <c r="G397" t="str" cm="1">
        <f t="array" ref="G397">_xlfn.IFS(
ISNUMBER(SEARCH("hold",C397)),"hold",
ISNUMBER(SEARCH("youth",C397)),"youth",
ISNUMBER(SEARCH("juve",C397)),"youth",
OR(ISNUMBER(SEARCH("health",B397)),ISNUMBER(SEARCH("care ",B397)),ISNUMBER(SEARCH("psych",B397)),ISNUMBER(SEARCH("medical",B397)),ISNUMBER(SEARCH("hospital",B397))),"medical",
ISNUMBER(SEARCH("correct",B397)),"correctional",
ISNUMBER(SEARCH("process",B397)),"processing",
ISNUMBER(SEARCH("detention center",B397)),"detention",
ISNUMBER(SEARCH("detention fac",B397)),"detention",
ISNUMBER(SEARCH("staging",B397)),"staging",
ISNUMBER(SEARCH("prison",B397)),"prison",
ISNUMBER(SEARCH("penet",B397)),"prison",
ISNUMBER(SEARCH("jail",B397)),"jail",
ISNUMBER(SEARCH("detention",B397)),"detention",
ISNUMBER(SEARCH("sheriff",B397)),"sheriff/police",
ISNUMBER(SEARCH("police",B397)),"sheriff/police",
TRUE,""
)</f>
        <v>medical</v>
      </c>
      <c r="H397">
        <f>INDEX(Sheet2!B:B,MATCH(C397,Sheet2!A:A,0),1)</f>
        <v>97</v>
      </c>
      <c r="I397">
        <f>3-COUNTBLANK(D397:F397)</f>
        <v>1</v>
      </c>
      <c r="J397">
        <f>IF(I397&gt;=2,H397,0)</f>
        <v>0</v>
      </c>
    </row>
    <row r="398" spans="1:10" x14ac:dyDescent="0.3">
      <c r="A398" t="s">
        <v>865</v>
      </c>
      <c r="B398" t="s">
        <v>1929</v>
      </c>
      <c r="C398" t="s">
        <v>1930</v>
      </c>
      <c r="D398" t="s">
        <v>170</v>
      </c>
      <c r="E398" t="s">
        <v>2454</v>
      </c>
      <c r="G398" t="str" cm="1">
        <f t="array" ref="G398">_xlfn.IFS(
ISNUMBER(SEARCH("hold",C398)),"hold",
ISNUMBER(SEARCH("youth",C398)),"youth",
ISNUMBER(SEARCH("juve",C398)),"youth",
OR(ISNUMBER(SEARCH("health",B398)),ISNUMBER(SEARCH("care ",B398)),ISNUMBER(SEARCH("psych",B398)),ISNUMBER(SEARCH("medical",B398)),ISNUMBER(SEARCH("hospital",B398))),"medical",
ISNUMBER(SEARCH("correct",B398)),"correctional",
ISNUMBER(SEARCH("process",B398)),"processing",
ISNUMBER(SEARCH("detention center",B398)),"detention",
ISNUMBER(SEARCH("detention fac",B398)),"detention",
ISNUMBER(SEARCH("staging",B398)),"staging",
ISNUMBER(SEARCH("prison",B398)),"prison",
ISNUMBER(SEARCH("penet",B398)),"prison",
ISNUMBER(SEARCH("jail",B398)),"jail",
ISNUMBER(SEARCH("detention",B398)),"detention",
ISNUMBER(SEARCH("sheriff",B398)),"sheriff/police",
ISNUMBER(SEARCH("police",B398)),"sheriff/police",
TRUE,""
)</f>
        <v>hold</v>
      </c>
      <c r="H398">
        <f>INDEX(Sheet2!B:B,MATCH(C398,Sheet2!A:A,0),1)</f>
        <v>96</v>
      </c>
      <c r="I398">
        <f>3-COUNTBLANK(D398:F398)</f>
        <v>2</v>
      </c>
      <c r="J398">
        <f>IF(I398&gt;=2,H398,0)</f>
        <v>96</v>
      </c>
    </row>
    <row r="399" spans="1:10" x14ac:dyDescent="0.3">
      <c r="A399" t="s">
        <v>868</v>
      </c>
      <c r="B399" t="s">
        <v>1541</v>
      </c>
      <c r="C399" t="s">
        <v>1542</v>
      </c>
      <c r="D399" t="s">
        <v>31</v>
      </c>
      <c r="G399" t="str" cm="1">
        <f t="array" ref="G399">_xlfn.IFS(
ISNUMBER(SEARCH("hold",C399)),"hold",
ISNUMBER(SEARCH("youth",C399)),"youth",
ISNUMBER(SEARCH("juve",C399)),"youth",
OR(ISNUMBER(SEARCH("health",B399)),ISNUMBER(SEARCH("care ",B399)),ISNUMBER(SEARCH("psych",B399)),ISNUMBER(SEARCH("medical",B399)),ISNUMBER(SEARCH("hospital",B399))),"medical",
ISNUMBER(SEARCH("correct",B399)),"correctional",
ISNUMBER(SEARCH("process",B399)),"processing",
ISNUMBER(SEARCH("detention center",B399)),"detention",
ISNUMBER(SEARCH("detention fac",B399)),"detention",
ISNUMBER(SEARCH("staging",B399)),"staging",
ISNUMBER(SEARCH("prison",B399)),"prison",
ISNUMBER(SEARCH("penet",B399)),"prison",
ISNUMBER(SEARCH("jail",B399)),"jail",
ISNUMBER(SEARCH("detention",B399)),"detention",
ISNUMBER(SEARCH("sheriff",B399)),"sheriff/police",
ISNUMBER(SEARCH("police",B399)),"sheriff/police",
TRUE,""
)</f>
        <v>medical</v>
      </c>
      <c r="H399">
        <f>INDEX(Sheet2!B:B,MATCH(C399,Sheet2!A:A,0),1)</f>
        <v>95</v>
      </c>
      <c r="I399">
        <f>3-COUNTBLANK(D399:F399)</f>
        <v>1</v>
      </c>
      <c r="J399">
        <f>IF(I399&gt;=2,H399,0)</f>
        <v>0</v>
      </c>
    </row>
    <row r="400" spans="1:10" x14ac:dyDescent="0.3">
      <c r="A400" t="s">
        <v>871</v>
      </c>
      <c r="B400" t="s">
        <v>1506</v>
      </c>
      <c r="C400" t="s">
        <v>1508</v>
      </c>
      <c r="D400" t="s">
        <v>121</v>
      </c>
      <c r="F400" t="s">
        <v>2322</v>
      </c>
      <c r="G400" t="str" cm="1">
        <f t="array" ref="G400">_xlfn.IFS(
ISNUMBER(SEARCH("hold",C400)),"hold",
ISNUMBER(SEARCH("youth",C400)),"youth",
ISNUMBER(SEARCH("juve",C400)),"youth",
OR(ISNUMBER(SEARCH("health",B400)),ISNUMBER(SEARCH("care ",B400)),ISNUMBER(SEARCH("psych",B400)),ISNUMBER(SEARCH("medical",B400)),ISNUMBER(SEARCH("hospital",B400))),"medical",
ISNUMBER(SEARCH("correct",B400)),"correctional",
ISNUMBER(SEARCH("process",B400)),"processing",
ISNUMBER(SEARCH("detention center",B400)),"detention",
ISNUMBER(SEARCH("detention fac",B400)),"detention",
ISNUMBER(SEARCH("staging",B400)),"staging",
ISNUMBER(SEARCH("prison",B400)),"prison",
ISNUMBER(SEARCH("penet",B400)),"prison",
ISNUMBER(SEARCH("jail",B400)),"jail",
ISNUMBER(SEARCH("detention",B400)),"detention",
ISNUMBER(SEARCH("sheriff",B400)),"sheriff/police",
ISNUMBER(SEARCH("police",B400)),"sheriff/police",
TRUE,""
)</f>
        <v>jail</v>
      </c>
      <c r="H400">
        <f>INDEX(Sheet2!B:B,MATCH(C400,Sheet2!A:A,0),1)</f>
        <v>94</v>
      </c>
      <c r="I400">
        <f>3-COUNTBLANK(D400:F400)</f>
        <v>2</v>
      </c>
      <c r="J400">
        <f>IF(I400&gt;=2,H400,0)</f>
        <v>94</v>
      </c>
    </row>
    <row r="401" spans="1:10" x14ac:dyDescent="0.3">
      <c r="A401" t="s">
        <v>875</v>
      </c>
      <c r="B401" t="s">
        <v>754</v>
      </c>
      <c r="C401" t="s">
        <v>755</v>
      </c>
      <c r="D401" t="s">
        <v>72</v>
      </c>
      <c r="F401" t="s">
        <v>2328</v>
      </c>
      <c r="G401" t="str" cm="1">
        <f t="array" ref="G401">_xlfn.IFS(
ISNUMBER(SEARCH("hold",C401)),"hold",
ISNUMBER(SEARCH("youth",C401)),"youth",
ISNUMBER(SEARCH("juve",C401)),"youth",
OR(ISNUMBER(SEARCH("health",B401)),ISNUMBER(SEARCH("care ",B401)),ISNUMBER(SEARCH("psych",B401)),ISNUMBER(SEARCH("medical",B401)),ISNUMBER(SEARCH("hospital",B401))),"medical",
ISNUMBER(SEARCH("correct",B401)),"correctional",
ISNUMBER(SEARCH("process",B401)),"processing",
ISNUMBER(SEARCH("detention center",B401)),"detention",
ISNUMBER(SEARCH("detention fac",B401)),"detention",
ISNUMBER(SEARCH("staging",B401)),"staging",
ISNUMBER(SEARCH("prison",B401)),"prison",
ISNUMBER(SEARCH("penet",B401)),"prison",
ISNUMBER(SEARCH("jail",B401)),"jail",
ISNUMBER(SEARCH("detention",B401)),"detention",
ISNUMBER(SEARCH("sheriff",B401)),"sheriff/police",
ISNUMBER(SEARCH("police",B401)),"sheriff/police",
TRUE,""
)</f>
        <v>jail</v>
      </c>
      <c r="H401">
        <f>INDEX(Sheet2!B:B,MATCH(C401,Sheet2!A:A,0),1)</f>
        <v>92</v>
      </c>
      <c r="I401">
        <f>3-COUNTBLANK(D401:F401)</f>
        <v>2</v>
      </c>
      <c r="J401">
        <f>IF(I401&gt;=2,H401,0)</f>
        <v>92</v>
      </c>
    </row>
    <row r="402" spans="1:10" x14ac:dyDescent="0.3">
      <c r="A402" t="s">
        <v>877</v>
      </c>
      <c r="B402" t="s">
        <v>1777</v>
      </c>
      <c r="C402" t="s">
        <v>1778</v>
      </c>
      <c r="D402" t="s">
        <v>72</v>
      </c>
      <c r="F402" t="s">
        <v>1779</v>
      </c>
      <c r="G402" t="str" cm="1">
        <f t="array" ref="G402">_xlfn.IFS(
ISNUMBER(SEARCH("hold",C402)),"hold",
ISNUMBER(SEARCH("youth",C402)),"youth",
ISNUMBER(SEARCH("juve",C402)),"youth",
OR(ISNUMBER(SEARCH("health",B402)),ISNUMBER(SEARCH("care ",B402)),ISNUMBER(SEARCH("psych",B402)),ISNUMBER(SEARCH("medical",B402)),ISNUMBER(SEARCH("hospital",B402))),"medical",
ISNUMBER(SEARCH("correct",B402)),"correctional",
ISNUMBER(SEARCH("process",B402)),"processing",
ISNUMBER(SEARCH("detention center",B402)),"detention",
ISNUMBER(SEARCH("detention fac",B402)),"detention",
ISNUMBER(SEARCH("staging",B402)),"staging",
ISNUMBER(SEARCH("prison",B402)),"prison",
ISNUMBER(SEARCH("penet",B402)),"prison",
ISNUMBER(SEARCH("jail",B402)),"jail",
ISNUMBER(SEARCH("detention",B402)),"detention",
ISNUMBER(SEARCH("sheriff",B402)),"sheriff/police",
ISNUMBER(SEARCH("police",B402)),"sheriff/police",
TRUE,""
)</f>
        <v>jail</v>
      </c>
      <c r="H402">
        <f>INDEX(Sheet2!B:B,MATCH(C402,Sheet2!A:A,0),1)</f>
        <v>90</v>
      </c>
      <c r="I402">
        <f>3-COUNTBLANK(D402:F402)</f>
        <v>2</v>
      </c>
      <c r="J402">
        <f>IF(I402&gt;=2,H402,0)</f>
        <v>90</v>
      </c>
    </row>
    <row r="403" spans="1:10" x14ac:dyDescent="0.3">
      <c r="A403" t="s">
        <v>1993</v>
      </c>
      <c r="B403" t="s">
        <v>1375</v>
      </c>
      <c r="C403" t="s">
        <v>1376</v>
      </c>
      <c r="D403" t="s">
        <v>35</v>
      </c>
      <c r="F403" t="s">
        <v>2375</v>
      </c>
      <c r="G403" t="str" cm="1">
        <f t="array" ref="G403">_xlfn.IFS(
ISNUMBER(SEARCH("hold",C403)),"hold",
ISNUMBER(SEARCH("youth",C403)),"youth",
ISNUMBER(SEARCH("juve",C403)),"youth",
OR(ISNUMBER(SEARCH("health",B403)),ISNUMBER(SEARCH("care ",B403)),ISNUMBER(SEARCH("psych",B403)),ISNUMBER(SEARCH("medical",B403)),ISNUMBER(SEARCH("hospital",B403))),"medical",
ISNUMBER(SEARCH("correct",B403)),"correctional",
ISNUMBER(SEARCH("process",B403)),"processing",
ISNUMBER(SEARCH("detention center",B403)),"detention",
ISNUMBER(SEARCH("detention fac",B403)),"detention",
ISNUMBER(SEARCH("staging",B403)),"staging",
ISNUMBER(SEARCH("prison",B403)),"prison",
ISNUMBER(SEARCH("penet",B403)),"prison",
ISNUMBER(SEARCH("jail",B403)),"jail",
ISNUMBER(SEARCH("detention",B403)),"detention",
ISNUMBER(SEARCH("sheriff",B403)),"sheriff/police",
ISNUMBER(SEARCH("police",B403)),"sheriff/police",
TRUE,""
)</f>
        <v>jail</v>
      </c>
      <c r="H403">
        <f>INDEX(Sheet2!B:B,MATCH(C403,Sheet2!A:A,0),1)</f>
        <v>88</v>
      </c>
      <c r="I403">
        <f>3-COUNTBLANK(D403:F403)</f>
        <v>2</v>
      </c>
      <c r="J403">
        <f>IF(I403&gt;=2,H403,0)</f>
        <v>88</v>
      </c>
    </row>
    <row r="404" spans="1:10" x14ac:dyDescent="0.3">
      <c r="A404" t="s">
        <v>880</v>
      </c>
      <c r="B404" t="s">
        <v>1477</v>
      </c>
      <c r="C404" t="s">
        <v>1478</v>
      </c>
      <c r="D404" t="s">
        <v>72</v>
      </c>
      <c r="F404" t="s">
        <v>1479</v>
      </c>
      <c r="G404" t="str" cm="1">
        <f t="array" ref="G404">_xlfn.IFS(
ISNUMBER(SEARCH("hold",C404)),"hold",
ISNUMBER(SEARCH("youth",C404)),"youth",
ISNUMBER(SEARCH("juve",C404)),"youth",
OR(ISNUMBER(SEARCH("health",B404)),ISNUMBER(SEARCH("care ",B404)),ISNUMBER(SEARCH("psych",B404)),ISNUMBER(SEARCH("medical",B404)),ISNUMBER(SEARCH("hospital",B404))),"medical",
ISNUMBER(SEARCH("correct",B404)),"correctional",
ISNUMBER(SEARCH("process",B404)),"processing",
ISNUMBER(SEARCH("detention center",B404)),"detention",
ISNUMBER(SEARCH("detention fac",B404)),"detention",
ISNUMBER(SEARCH("staging",B404)),"staging",
ISNUMBER(SEARCH("prison",B404)),"prison",
ISNUMBER(SEARCH("penet",B404)),"prison",
ISNUMBER(SEARCH("jail",B404)),"jail",
ISNUMBER(SEARCH("detention",B404)),"detention",
ISNUMBER(SEARCH("sheriff",B404)),"sheriff/police",
ISNUMBER(SEARCH("police",B404)),"sheriff/police",
TRUE,""
)</f>
        <v>jail</v>
      </c>
      <c r="H404">
        <f>INDEX(Sheet2!B:B,MATCH(C404,Sheet2!A:A,0),1)</f>
        <v>86</v>
      </c>
      <c r="I404">
        <f>3-COUNTBLANK(D404:F404)</f>
        <v>2</v>
      </c>
      <c r="J404">
        <f>IF(I404&gt;=2,H404,0)</f>
        <v>86</v>
      </c>
    </row>
    <row r="405" spans="1:10" x14ac:dyDescent="0.3">
      <c r="A405" t="s">
        <v>883</v>
      </c>
      <c r="B405" t="s">
        <v>1245</v>
      </c>
      <c r="C405" t="s">
        <v>1246</v>
      </c>
      <c r="D405" t="s">
        <v>68</v>
      </c>
      <c r="F405" t="s">
        <v>2363</v>
      </c>
      <c r="G405" t="str" cm="1">
        <f t="array" ref="G405">_xlfn.IFS(
ISNUMBER(SEARCH("hold",C405)),"hold",
ISNUMBER(SEARCH("youth",C405)),"youth",
ISNUMBER(SEARCH("juve",C405)),"youth",
OR(ISNUMBER(SEARCH("health",B405)),ISNUMBER(SEARCH("care ",B405)),ISNUMBER(SEARCH("psych",B405)),ISNUMBER(SEARCH("medical",B405)),ISNUMBER(SEARCH("hospital",B405))),"medical",
ISNUMBER(SEARCH("correct",B405)),"correctional",
ISNUMBER(SEARCH("process",B405)),"processing",
ISNUMBER(SEARCH("detention center",B405)),"detention",
ISNUMBER(SEARCH("detention fac",B405)),"detention",
ISNUMBER(SEARCH("staging",B405)),"staging",
ISNUMBER(SEARCH("prison",B405)),"prison",
ISNUMBER(SEARCH("penet",B405)),"prison",
ISNUMBER(SEARCH("jail",B405)),"jail",
ISNUMBER(SEARCH("detention",B405)),"detention",
ISNUMBER(SEARCH("sheriff",B405)),"sheriff/police",
ISNUMBER(SEARCH("police",B405)),"sheriff/police",
TRUE,""
)</f>
        <v>jail</v>
      </c>
      <c r="H405">
        <f>INDEX(Sheet2!B:B,MATCH(C405,Sheet2!A:A,0),1)</f>
        <v>85</v>
      </c>
      <c r="I405">
        <f>3-COUNTBLANK(D405:F405)</f>
        <v>2</v>
      </c>
      <c r="J405">
        <f>IF(I405&gt;=2,H405,0)</f>
        <v>85</v>
      </c>
    </row>
    <row r="406" spans="1:10" x14ac:dyDescent="0.3">
      <c r="A406" t="s">
        <v>886</v>
      </c>
      <c r="B406" t="s">
        <v>355</v>
      </c>
      <c r="C406" t="s">
        <v>356</v>
      </c>
      <c r="D406" t="s">
        <v>35</v>
      </c>
      <c r="E406" t="s">
        <v>2490</v>
      </c>
      <c r="G406" t="str" cm="1">
        <f t="array" ref="G406">_xlfn.IFS(
ISNUMBER(SEARCH("hold",C406)),"hold",
ISNUMBER(SEARCH("youth",C406)),"youth",
ISNUMBER(SEARCH("juve",C406)),"youth",
OR(ISNUMBER(SEARCH("health",B406)),ISNUMBER(SEARCH("care ",B406)),ISNUMBER(SEARCH("psych",B406)),ISNUMBER(SEARCH("medical",B406)),ISNUMBER(SEARCH("hospital",B406))),"medical",
ISNUMBER(SEARCH("correct",B406)),"correctional",
ISNUMBER(SEARCH("process",B406)),"processing",
ISNUMBER(SEARCH("detention center",B406)),"detention",
ISNUMBER(SEARCH("detention fac",B406)),"detention",
ISNUMBER(SEARCH("staging",B406)),"staging",
ISNUMBER(SEARCH("prison",B406)),"prison",
ISNUMBER(SEARCH("penet",B406)),"prison",
ISNUMBER(SEARCH("jail",B406)),"jail",
ISNUMBER(SEARCH("detention",B406)),"detention",
ISNUMBER(SEARCH("sheriff",B406)),"sheriff/police",
ISNUMBER(SEARCH("police",B406)),"sheriff/police",
TRUE,""
)</f>
        <v>hold</v>
      </c>
      <c r="H406">
        <f>INDEX(Sheet2!B:B,MATCH(C406,Sheet2!A:A,0),1)</f>
        <v>83</v>
      </c>
      <c r="I406">
        <f>3-COUNTBLANK(D406:F406)</f>
        <v>2</v>
      </c>
      <c r="J406">
        <f>IF(I406&gt;=2,H406,0)</f>
        <v>83</v>
      </c>
    </row>
    <row r="407" spans="1:10" x14ac:dyDescent="0.3">
      <c r="A407" t="s">
        <v>889</v>
      </c>
      <c r="B407" t="s">
        <v>951</v>
      </c>
      <c r="C407" t="s">
        <v>952</v>
      </c>
      <c r="G407" t="str" cm="1">
        <f t="array" ref="G407">_xlfn.IFS(
ISNUMBER(SEARCH("hold",C407)),"hold",
ISNUMBER(SEARCH("youth",C407)),"youth",
ISNUMBER(SEARCH("juve",C407)),"youth",
OR(ISNUMBER(SEARCH("health",B407)),ISNUMBER(SEARCH("care ",B407)),ISNUMBER(SEARCH("psych",B407)),ISNUMBER(SEARCH("medical",B407)),ISNUMBER(SEARCH("hospital",B407))),"medical",
ISNUMBER(SEARCH("correct",B407)),"correctional",
ISNUMBER(SEARCH("process",B407)),"processing",
ISNUMBER(SEARCH("detention center",B407)),"detention",
ISNUMBER(SEARCH("detention fac",B407)),"detention",
ISNUMBER(SEARCH("staging",B407)),"staging",
ISNUMBER(SEARCH("prison",B407)),"prison",
ISNUMBER(SEARCH("penet",B407)),"prison",
ISNUMBER(SEARCH("jail",B407)),"jail",
ISNUMBER(SEARCH("detention",B407)),"detention",
ISNUMBER(SEARCH("sheriff",B407)),"sheriff/police",
ISNUMBER(SEARCH("police",B407)),"sheriff/police",
TRUE,""
)</f>
        <v>hold</v>
      </c>
      <c r="H407">
        <f>INDEX(Sheet2!B:B,MATCH(C407,Sheet2!A:A,0),1)</f>
        <v>80</v>
      </c>
      <c r="I407">
        <f>3-COUNTBLANK(D407:F407)</f>
        <v>0</v>
      </c>
      <c r="J407">
        <f>IF(I407&gt;=2,H407,0)</f>
        <v>0</v>
      </c>
    </row>
    <row r="408" spans="1:10" x14ac:dyDescent="0.3">
      <c r="A408" t="s">
        <v>1797</v>
      </c>
      <c r="B408" t="s">
        <v>2541</v>
      </c>
      <c r="C408" t="s">
        <v>1949</v>
      </c>
      <c r="D408" t="s">
        <v>125</v>
      </c>
      <c r="F408" t="s">
        <v>2393</v>
      </c>
      <c r="G408" t="str" cm="1">
        <f t="array" ref="G408">_xlfn.IFS(
ISNUMBER(SEARCH("hold",C408)),"hold",
ISNUMBER(SEARCH("youth",C408)),"youth",
ISNUMBER(SEARCH("juve",C408)),"youth",
OR(ISNUMBER(SEARCH("health",B408)),ISNUMBER(SEARCH("care ",B408)),ISNUMBER(SEARCH("psych",B408)),ISNUMBER(SEARCH("medical",B408)),ISNUMBER(SEARCH("hospital",B408))),"medical",
ISNUMBER(SEARCH("correct",B408)),"correctional",
ISNUMBER(SEARCH("process",B408)),"processing",
ISNUMBER(SEARCH("detention center",B408)),"detention",
ISNUMBER(SEARCH("detention fac",B408)),"detention",
ISNUMBER(SEARCH("staging",B408)),"staging",
ISNUMBER(SEARCH("prison",B408)),"prison",
ISNUMBER(SEARCH("penet",B408)),"prison",
ISNUMBER(SEARCH("jail",B408)),"jail",
ISNUMBER(SEARCH("detention",B408)),"detention",
ISNUMBER(SEARCH("sheriff",B408)),"sheriff/police",
ISNUMBER(SEARCH("police",B408)),"sheriff/police",
TRUE,""
)</f>
        <v/>
      </c>
      <c r="H408">
        <f>INDEX(Sheet2!B:B,MATCH(C408,Sheet2!A:A,0),1)</f>
        <v>6188</v>
      </c>
      <c r="I408">
        <f>3-COUNTBLANK(D408:F408)</f>
        <v>2</v>
      </c>
      <c r="J408">
        <f>IF(I408&gt;=2,H408,0)</f>
        <v>6188</v>
      </c>
    </row>
    <row r="409" spans="1:10" x14ac:dyDescent="0.3">
      <c r="A409" t="s">
        <v>896</v>
      </c>
      <c r="B409" t="s">
        <v>1532</v>
      </c>
      <c r="C409" t="s">
        <v>1533</v>
      </c>
      <c r="D409" t="s">
        <v>6</v>
      </c>
      <c r="F409" t="s">
        <v>2250</v>
      </c>
      <c r="G409" t="str" cm="1">
        <f t="array" ref="G409">_xlfn.IFS(
ISNUMBER(SEARCH("hold",C409)),"hold",
ISNUMBER(SEARCH("youth",C409)),"youth",
ISNUMBER(SEARCH("juve",C409)),"youth",
OR(ISNUMBER(SEARCH("health",B409)),ISNUMBER(SEARCH("care ",B409)),ISNUMBER(SEARCH("psych",B409)),ISNUMBER(SEARCH("medical",B409)),ISNUMBER(SEARCH("hospital",B409))),"medical",
ISNUMBER(SEARCH("correct",B409)),"correctional",
ISNUMBER(SEARCH("process",B409)),"processing",
ISNUMBER(SEARCH("detention center",B409)),"detention",
ISNUMBER(SEARCH("detention fac",B409)),"detention",
ISNUMBER(SEARCH("staging",B409)),"staging",
ISNUMBER(SEARCH("prison",B409)),"prison",
ISNUMBER(SEARCH("penet",B409)),"prison",
ISNUMBER(SEARCH("jail",B409)),"jail",
ISNUMBER(SEARCH("detention",B409)),"detention",
ISNUMBER(SEARCH("sheriff",B409)),"sheriff/police",
ISNUMBER(SEARCH("police",B409)),"sheriff/police",
TRUE,""
)</f>
        <v>medical</v>
      </c>
      <c r="H409">
        <f>INDEX(Sheet2!B:B,MATCH(C409,Sheet2!A:A,0),1)</f>
        <v>76</v>
      </c>
      <c r="I409">
        <f>3-COUNTBLANK(D409:F409)</f>
        <v>2</v>
      </c>
      <c r="J409">
        <f>IF(I409&gt;=2,H409,0)</f>
        <v>76</v>
      </c>
    </row>
    <row r="410" spans="1:10" x14ac:dyDescent="0.3">
      <c r="A410" t="s">
        <v>1995</v>
      </c>
      <c r="B410" t="s">
        <v>1571</v>
      </c>
      <c r="C410" t="s">
        <v>1572</v>
      </c>
      <c r="D410" t="s">
        <v>14</v>
      </c>
      <c r="F410" t="s">
        <v>1573</v>
      </c>
      <c r="G410" t="str" cm="1">
        <f t="array" ref="G410">_xlfn.IFS(
ISNUMBER(SEARCH("hold",C410)),"hold",
ISNUMBER(SEARCH("youth",C410)),"youth",
ISNUMBER(SEARCH("juve",C410)),"youth",
OR(ISNUMBER(SEARCH("health",B410)),ISNUMBER(SEARCH("care ",B410)),ISNUMBER(SEARCH("psych",B410)),ISNUMBER(SEARCH("medical",B410)),ISNUMBER(SEARCH("hospital",B410))),"medical",
ISNUMBER(SEARCH("correct",B410)),"correctional",
ISNUMBER(SEARCH("process",B410)),"processing",
ISNUMBER(SEARCH("detention center",B410)),"detention",
ISNUMBER(SEARCH("detention fac",B410)),"detention",
ISNUMBER(SEARCH("staging",B410)),"staging",
ISNUMBER(SEARCH("prison",B410)),"prison",
ISNUMBER(SEARCH("penet",B410)),"prison",
ISNUMBER(SEARCH("jail",B410)),"jail",
ISNUMBER(SEARCH("detention",B410)),"detention",
ISNUMBER(SEARCH("sheriff",B410)),"sheriff/police",
ISNUMBER(SEARCH("police",B410)),"sheriff/police",
TRUE,""
)</f>
        <v>detention</v>
      </c>
      <c r="H410">
        <f>INDEX(Sheet2!B:B,MATCH(C410,Sheet2!A:A,0),1)</f>
        <v>75</v>
      </c>
      <c r="I410">
        <f>3-COUNTBLANK(D410:F410)</f>
        <v>2</v>
      </c>
      <c r="J410">
        <f>IF(I410&gt;=2,H410,0)</f>
        <v>75</v>
      </c>
    </row>
    <row r="411" spans="1:10" x14ac:dyDescent="0.3">
      <c r="A411" t="s">
        <v>899</v>
      </c>
      <c r="B411" t="s">
        <v>2556</v>
      </c>
      <c r="C411" t="s">
        <v>773</v>
      </c>
      <c r="D411" t="s">
        <v>72</v>
      </c>
      <c r="G411" t="str" cm="1">
        <f t="array" ref="G411">_xlfn.IFS(
ISNUMBER(SEARCH("hold",C411)),"hold",
ISNUMBER(SEARCH("youth",C411)),"youth",
ISNUMBER(SEARCH("juve",C411)),"youth",
OR(ISNUMBER(SEARCH("health",B411)),ISNUMBER(SEARCH("care ",B411)),ISNUMBER(SEARCH("psych",B411)),ISNUMBER(SEARCH("medical",B411)),ISNUMBER(SEARCH("hospital",B411))),"medical",
ISNUMBER(SEARCH("correct",B411)),"correctional",
ISNUMBER(SEARCH("process",B411)),"processing",
ISNUMBER(SEARCH("detention center",B411)),"detention",
ISNUMBER(SEARCH("detention fac",B411)),"detention",
ISNUMBER(SEARCH("staging",B411)),"staging",
ISNUMBER(SEARCH("prison",B411)),"prison",
ISNUMBER(SEARCH("penet",B411)),"prison",
ISNUMBER(SEARCH("jail",B411)),"jail",
ISNUMBER(SEARCH("detention",B411)),"detention",
ISNUMBER(SEARCH("sheriff",B411)),"sheriff/police",
ISNUMBER(SEARCH("police",B411)),"sheriff/police",
TRUE,""
)</f>
        <v>medical</v>
      </c>
      <c r="H411">
        <f>INDEX(Sheet2!B:B,MATCH(C411,Sheet2!A:A,0),1)</f>
        <v>73</v>
      </c>
      <c r="I411">
        <f>3-COUNTBLANK(D411:F411)</f>
        <v>1</v>
      </c>
      <c r="J411">
        <f>IF(I411&gt;=2,H411,0)</f>
        <v>0</v>
      </c>
    </row>
    <row r="412" spans="1:10" x14ac:dyDescent="0.3">
      <c r="A412" t="s">
        <v>902</v>
      </c>
      <c r="B412" t="s">
        <v>1071</v>
      </c>
      <c r="C412" t="s">
        <v>1072</v>
      </c>
      <c r="D412" t="s">
        <v>55</v>
      </c>
      <c r="E412" t="s">
        <v>2422</v>
      </c>
      <c r="G412" t="str" cm="1">
        <f t="array" ref="G412">_xlfn.IFS(
ISNUMBER(SEARCH("hold",C412)),"hold",
ISNUMBER(SEARCH("youth",C412)),"youth",
ISNUMBER(SEARCH("juve",C412)),"youth",
OR(ISNUMBER(SEARCH("health",B412)),ISNUMBER(SEARCH("care ",B412)),ISNUMBER(SEARCH("psych",B412)),ISNUMBER(SEARCH("medical",B412)),ISNUMBER(SEARCH("hospital",B412))),"medical",
ISNUMBER(SEARCH("correct",B412)),"correctional",
ISNUMBER(SEARCH("process",B412)),"processing",
ISNUMBER(SEARCH("detention center",B412)),"detention",
ISNUMBER(SEARCH("detention fac",B412)),"detention",
ISNUMBER(SEARCH("staging",B412)),"staging",
ISNUMBER(SEARCH("prison",B412)),"prison",
ISNUMBER(SEARCH("penet",B412)),"prison",
ISNUMBER(SEARCH("jail",B412)),"jail",
ISNUMBER(SEARCH("detention",B412)),"detention",
ISNUMBER(SEARCH("sheriff",B412)),"sheriff/police",
ISNUMBER(SEARCH("police",B412)),"sheriff/police",
TRUE,""
)</f>
        <v>hold</v>
      </c>
      <c r="H412">
        <f>INDEX(Sheet2!B:B,MATCH(C412,Sheet2!A:A,0),1)</f>
        <v>73</v>
      </c>
      <c r="I412">
        <f>3-COUNTBLANK(D412:F412)</f>
        <v>2</v>
      </c>
      <c r="J412">
        <f>IF(I412&gt;=2,H412,0)</f>
        <v>73</v>
      </c>
    </row>
    <row r="413" spans="1:10" x14ac:dyDescent="0.3">
      <c r="A413" t="s">
        <v>905</v>
      </c>
      <c r="B413" t="s">
        <v>45</v>
      </c>
      <c r="C413" t="s">
        <v>46</v>
      </c>
      <c r="D413" t="s">
        <v>35</v>
      </c>
      <c r="E413" t="s">
        <v>2455</v>
      </c>
      <c r="G413" t="str" cm="1">
        <f t="array" ref="G413">_xlfn.IFS(
ISNUMBER(SEARCH("hold",C413)),"hold",
ISNUMBER(SEARCH("youth",C413)),"youth",
ISNUMBER(SEARCH("juve",C413)),"youth",
OR(ISNUMBER(SEARCH("health",B413)),ISNUMBER(SEARCH("care ",B413)),ISNUMBER(SEARCH("psych",B413)),ISNUMBER(SEARCH("medical",B413)),ISNUMBER(SEARCH("hospital",B413))),"medical",
ISNUMBER(SEARCH("correct",B413)),"correctional",
ISNUMBER(SEARCH("process",B413)),"processing",
ISNUMBER(SEARCH("detention center",B413)),"detention",
ISNUMBER(SEARCH("detention fac",B413)),"detention",
ISNUMBER(SEARCH("staging",B413)),"staging",
ISNUMBER(SEARCH("prison",B413)),"prison",
ISNUMBER(SEARCH("penet",B413)),"prison",
ISNUMBER(SEARCH("jail",B413)),"jail",
ISNUMBER(SEARCH("detention",B413)),"detention",
ISNUMBER(SEARCH("sheriff",B413)),"sheriff/police",
ISNUMBER(SEARCH("police",B413)),"sheriff/police",
TRUE,""
)</f>
        <v>hold</v>
      </c>
      <c r="H413">
        <f>INDEX(Sheet2!B:B,MATCH(C413,Sheet2!A:A,0),1)</f>
        <v>68</v>
      </c>
      <c r="I413">
        <f>3-COUNTBLANK(D413:F413)</f>
        <v>2</v>
      </c>
      <c r="J413">
        <f>IF(I413&gt;=2,H413,0)</f>
        <v>68</v>
      </c>
    </row>
    <row r="414" spans="1:10" x14ac:dyDescent="0.3">
      <c r="A414" t="s">
        <v>908</v>
      </c>
      <c r="B414" t="s">
        <v>180</v>
      </c>
      <c r="C414" t="s">
        <v>181</v>
      </c>
      <c r="D414" t="s">
        <v>72</v>
      </c>
      <c r="E414" t="s">
        <v>2234</v>
      </c>
      <c r="F414" t="s">
        <v>2234</v>
      </c>
      <c r="G414" t="str" cm="1">
        <f t="array" ref="G414">_xlfn.IFS(
ISNUMBER(SEARCH("hold",C414)),"hold",
ISNUMBER(SEARCH("youth",C414)),"youth",
ISNUMBER(SEARCH("juve",C414)),"youth",
OR(ISNUMBER(SEARCH("health",B414)),ISNUMBER(SEARCH("care ",B414)),ISNUMBER(SEARCH("psych",B414)),ISNUMBER(SEARCH("medical",B414)),ISNUMBER(SEARCH("hospital",B414))),"medical",
ISNUMBER(SEARCH("correct",B414)),"correctional",
ISNUMBER(SEARCH("process",B414)),"processing",
ISNUMBER(SEARCH("detention center",B414)),"detention",
ISNUMBER(SEARCH("detention fac",B414)),"detention",
ISNUMBER(SEARCH("staging",B414)),"staging",
ISNUMBER(SEARCH("prison",B414)),"prison",
ISNUMBER(SEARCH("penet",B414)),"prison",
ISNUMBER(SEARCH("jail",B414)),"jail",
ISNUMBER(SEARCH("detention",B414)),"detention",
ISNUMBER(SEARCH("sheriff",B414)),"sheriff/police",
ISNUMBER(SEARCH("police",B414)),"sheriff/police",
TRUE,""
)</f>
        <v>jail</v>
      </c>
      <c r="H414">
        <f>INDEX(Sheet2!B:B,MATCH(C414,Sheet2!A:A,0),1)</f>
        <v>68</v>
      </c>
      <c r="I414">
        <f>3-COUNTBLANK(D414:F414)</f>
        <v>3</v>
      </c>
      <c r="J414">
        <f>IF(I414&gt;=2,H414,0)</f>
        <v>68</v>
      </c>
    </row>
    <row r="415" spans="1:10" x14ac:dyDescent="0.3">
      <c r="A415" t="s">
        <v>911</v>
      </c>
      <c r="B415" t="s">
        <v>2398</v>
      </c>
      <c r="C415" t="s">
        <v>1325</v>
      </c>
      <c r="D415" t="s">
        <v>6</v>
      </c>
      <c r="F415" t="s">
        <v>2400</v>
      </c>
      <c r="G415" t="str" cm="1">
        <f t="array" ref="G415">_xlfn.IFS(
ISNUMBER(SEARCH("hold",C415)),"hold",
ISNUMBER(SEARCH("youth",C415)),"youth",
ISNUMBER(SEARCH("juve",C415)),"youth",
OR(ISNUMBER(SEARCH("health",B415)),ISNUMBER(SEARCH("care ",B415)),ISNUMBER(SEARCH("psych",B415)),ISNUMBER(SEARCH("medical",B415)),ISNUMBER(SEARCH("hospital",B415))),"medical",
ISNUMBER(SEARCH("correct",B415)),"correctional",
ISNUMBER(SEARCH("process",B415)),"processing",
ISNUMBER(SEARCH("detention center",B415)),"detention",
ISNUMBER(SEARCH("detention fac",B415)),"detention",
ISNUMBER(SEARCH("staging",B415)),"staging",
ISNUMBER(SEARCH("prison",B415)),"prison",
ISNUMBER(SEARCH("penet",B415)),"prison",
ISNUMBER(SEARCH("jail",B415)),"jail",
ISNUMBER(SEARCH("detention",B415)),"detention",
ISNUMBER(SEARCH("sheriff",B415)),"sheriff/police",
ISNUMBER(SEARCH("police",B415)),"sheriff/police",
TRUE,""
)</f>
        <v>jail</v>
      </c>
      <c r="H415">
        <f>INDEX(Sheet2!B:B,MATCH(C415,Sheet2!A:A,0),1)</f>
        <v>68</v>
      </c>
      <c r="I415">
        <f>3-COUNTBLANK(D415:F415)</f>
        <v>2</v>
      </c>
      <c r="J415">
        <f>IF(I415&gt;=2,H415,0)</f>
        <v>68</v>
      </c>
    </row>
    <row r="416" spans="1:10" x14ac:dyDescent="0.3">
      <c r="A416" t="s">
        <v>914</v>
      </c>
      <c r="B416" t="s">
        <v>1756</v>
      </c>
      <c r="C416" t="s">
        <v>1757</v>
      </c>
      <c r="D416" t="s">
        <v>6</v>
      </c>
      <c r="G416" t="str" cm="1">
        <f t="array" ref="G416">_xlfn.IFS(
ISNUMBER(SEARCH("hold",C416)),"hold",
ISNUMBER(SEARCH("youth",C416)),"youth",
ISNUMBER(SEARCH("juve",C416)),"youth",
OR(ISNUMBER(SEARCH("health",B416)),ISNUMBER(SEARCH("care ",B416)),ISNUMBER(SEARCH("psych",B416)),ISNUMBER(SEARCH("medical",B416)),ISNUMBER(SEARCH("hospital",B416))),"medical",
ISNUMBER(SEARCH("correct",B416)),"correctional",
ISNUMBER(SEARCH("process",B416)),"processing",
ISNUMBER(SEARCH("detention center",B416)),"detention",
ISNUMBER(SEARCH("detention fac",B416)),"detention",
ISNUMBER(SEARCH("staging",B416)),"staging",
ISNUMBER(SEARCH("prison",B416)),"prison",
ISNUMBER(SEARCH("penet",B416)),"prison",
ISNUMBER(SEARCH("jail",B416)),"jail",
ISNUMBER(SEARCH("detention",B416)),"detention",
ISNUMBER(SEARCH("sheriff",B416)),"sheriff/police",
ISNUMBER(SEARCH("police",B416)),"sheriff/police",
TRUE,""
)</f>
        <v>medical</v>
      </c>
      <c r="H416">
        <f>INDEX(Sheet2!B:B,MATCH(C416,Sheet2!A:A,0),1)</f>
        <v>67</v>
      </c>
      <c r="I416">
        <f>3-COUNTBLANK(D416:F416)</f>
        <v>1</v>
      </c>
      <c r="J416">
        <f>IF(I416&gt;=2,H416,0)</f>
        <v>0</v>
      </c>
    </row>
    <row r="417" spans="1:10" x14ac:dyDescent="0.3">
      <c r="A417" t="s">
        <v>1999</v>
      </c>
      <c r="B417" t="s">
        <v>425</v>
      </c>
      <c r="C417" t="s">
        <v>426</v>
      </c>
      <c r="D417" t="s">
        <v>72</v>
      </c>
      <c r="F417" t="s">
        <v>2371</v>
      </c>
      <c r="G417" t="str" cm="1">
        <f t="array" ref="G417">_xlfn.IFS(
ISNUMBER(SEARCH("hold",C417)),"hold",
ISNUMBER(SEARCH("youth",C417)),"youth",
ISNUMBER(SEARCH("juve",C417)),"youth",
OR(ISNUMBER(SEARCH("health",B417)),ISNUMBER(SEARCH("care ",B417)),ISNUMBER(SEARCH("psych",B417)),ISNUMBER(SEARCH("medical",B417)),ISNUMBER(SEARCH("hospital",B417))),"medical",
ISNUMBER(SEARCH("correct",B417)),"correctional",
ISNUMBER(SEARCH("process",B417)),"processing",
ISNUMBER(SEARCH("detention center",B417)),"detention",
ISNUMBER(SEARCH("detention fac",B417)),"detention",
ISNUMBER(SEARCH("staging",B417)),"staging",
ISNUMBER(SEARCH("prison",B417)),"prison",
ISNUMBER(SEARCH("penet",B417)),"prison",
ISNUMBER(SEARCH("jail",B417)),"jail",
ISNUMBER(SEARCH("detention",B417)),"detention",
ISNUMBER(SEARCH("sheriff",B417)),"sheriff/police",
ISNUMBER(SEARCH("police",B417)),"sheriff/police",
TRUE,""
)</f>
        <v>medical</v>
      </c>
      <c r="H417">
        <f>INDEX(Sheet2!B:B,MATCH(C417,Sheet2!A:A,0),1)</f>
        <v>38</v>
      </c>
      <c r="I417">
        <f>3-COUNTBLANK(D417:F417)</f>
        <v>2</v>
      </c>
      <c r="J417">
        <f>IF(I417&gt;=2,H417,0)</f>
        <v>38</v>
      </c>
    </row>
    <row r="418" spans="1:10" x14ac:dyDescent="0.3">
      <c r="A418" t="s">
        <v>920</v>
      </c>
      <c r="B418" t="s">
        <v>1547</v>
      </c>
      <c r="C418" t="s">
        <v>1548</v>
      </c>
      <c r="D418" t="s">
        <v>91</v>
      </c>
      <c r="E418" t="s">
        <v>2456</v>
      </c>
      <c r="G418" t="str" cm="1">
        <f t="array" ref="G418">_xlfn.IFS(
ISNUMBER(SEARCH("hold",C418)),"hold",
ISNUMBER(SEARCH("youth",C418)),"youth",
ISNUMBER(SEARCH("juve",C418)),"youth",
OR(ISNUMBER(SEARCH("health",B418)),ISNUMBER(SEARCH("care ",B418)),ISNUMBER(SEARCH("psych",B418)),ISNUMBER(SEARCH("medical",B418)),ISNUMBER(SEARCH("hospital",B418))),"medical",
ISNUMBER(SEARCH("correct",B418)),"correctional",
ISNUMBER(SEARCH("process",B418)),"processing",
ISNUMBER(SEARCH("detention center",B418)),"detention",
ISNUMBER(SEARCH("detention fac",B418)),"detention",
ISNUMBER(SEARCH("staging",B418)),"staging",
ISNUMBER(SEARCH("prison",B418)),"prison",
ISNUMBER(SEARCH("penet",B418)),"prison",
ISNUMBER(SEARCH("jail",B418)),"jail",
ISNUMBER(SEARCH("detention",B418)),"detention",
ISNUMBER(SEARCH("sheriff",B418)),"sheriff/police",
ISNUMBER(SEARCH("police",B418)),"sheriff/police",
TRUE,""
)</f>
        <v>hold</v>
      </c>
      <c r="H418">
        <f>INDEX(Sheet2!B:B,MATCH(C418,Sheet2!A:A,0),1)</f>
        <v>66</v>
      </c>
      <c r="I418">
        <f>3-COUNTBLANK(D418:F418)</f>
        <v>2</v>
      </c>
      <c r="J418">
        <f>IF(I418&gt;=2,H418,0)</f>
        <v>66</v>
      </c>
    </row>
    <row r="419" spans="1:10" x14ac:dyDescent="0.3">
      <c r="A419" t="s">
        <v>924</v>
      </c>
      <c r="B419" t="s">
        <v>1848</v>
      </c>
      <c r="C419" t="s">
        <v>1849</v>
      </c>
      <c r="D419" t="s">
        <v>42</v>
      </c>
      <c r="E419" t="s">
        <v>2491</v>
      </c>
      <c r="G419" t="str" cm="1">
        <f t="array" ref="G419">_xlfn.IFS(
ISNUMBER(SEARCH("hold",C419)),"hold",
ISNUMBER(SEARCH("youth",C419)),"youth",
ISNUMBER(SEARCH("juve",C419)),"youth",
OR(ISNUMBER(SEARCH("health",B419)),ISNUMBER(SEARCH("care ",B419)),ISNUMBER(SEARCH("psych",B419)),ISNUMBER(SEARCH("medical",B419)),ISNUMBER(SEARCH("hospital",B419))),"medical",
ISNUMBER(SEARCH("correct",B419)),"correctional",
ISNUMBER(SEARCH("process",B419)),"processing",
ISNUMBER(SEARCH("detention center",B419)),"detention",
ISNUMBER(SEARCH("detention fac",B419)),"detention",
ISNUMBER(SEARCH("staging",B419)),"staging",
ISNUMBER(SEARCH("prison",B419)),"prison",
ISNUMBER(SEARCH("penet",B419)),"prison",
ISNUMBER(SEARCH("jail",B419)),"jail",
ISNUMBER(SEARCH("detention",B419)),"detention",
ISNUMBER(SEARCH("sheriff",B419)),"sheriff/police",
ISNUMBER(SEARCH("police",B419)),"sheriff/police",
TRUE,""
)</f>
        <v>hold</v>
      </c>
      <c r="H419">
        <f>INDEX(Sheet2!B:B,MATCH(C419,Sheet2!A:A,0),1)</f>
        <v>64</v>
      </c>
      <c r="I419">
        <f>3-COUNTBLANK(D419:F419)</f>
        <v>2</v>
      </c>
      <c r="J419">
        <f>IF(I419&gt;=2,H419,0)</f>
        <v>64</v>
      </c>
    </row>
    <row r="420" spans="1:10" x14ac:dyDescent="0.3">
      <c r="A420" t="s">
        <v>927</v>
      </c>
      <c r="B420" t="s">
        <v>770</v>
      </c>
      <c r="C420" t="s">
        <v>771</v>
      </c>
      <c r="G420" t="str" cm="1">
        <f t="array" ref="G420">_xlfn.IFS(
ISNUMBER(SEARCH("hold",C420)),"hold",
ISNUMBER(SEARCH("youth",C420)),"youth",
ISNUMBER(SEARCH("juve",C420)),"youth",
OR(ISNUMBER(SEARCH("health",B420)),ISNUMBER(SEARCH("care ",B420)),ISNUMBER(SEARCH("psych",B420)),ISNUMBER(SEARCH("medical",B420)),ISNUMBER(SEARCH("hospital",B420))),"medical",
ISNUMBER(SEARCH("correct",B420)),"correctional",
ISNUMBER(SEARCH("process",B420)),"processing",
ISNUMBER(SEARCH("detention center",B420)),"detention",
ISNUMBER(SEARCH("detention fac",B420)),"detention",
ISNUMBER(SEARCH("staging",B420)),"staging",
ISNUMBER(SEARCH("prison",B420)),"prison",
ISNUMBER(SEARCH("penet",B420)),"prison",
ISNUMBER(SEARCH("jail",B420)),"jail",
ISNUMBER(SEARCH("detention",B420)),"detention",
ISNUMBER(SEARCH("sheriff",B420)),"sheriff/police",
ISNUMBER(SEARCH("police",B420)),"sheriff/police",
TRUE,""
)</f>
        <v>hold</v>
      </c>
      <c r="H420">
        <f>INDEX(Sheet2!B:B,MATCH(C420,Sheet2!A:A,0),1)</f>
        <v>64</v>
      </c>
      <c r="I420">
        <f>3-COUNTBLANK(D420:F420)</f>
        <v>0</v>
      </c>
      <c r="J420">
        <f>IF(I420&gt;=2,H420,0)</f>
        <v>0</v>
      </c>
    </row>
    <row r="421" spans="1:10" x14ac:dyDescent="0.3">
      <c r="A421" t="s">
        <v>930</v>
      </c>
      <c r="B421" t="s">
        <v>1437</v>
      </c>
      <c r="C421" t="s">
        <v>1438</v>
      </c>
      <c r="D421" t="s">
        <v>200</v>
      </c>
      <c r="F421" t="s">
        <v>2380</v>
      </c>
      <c r="G421" t="str" cm="1">
        <f t="array" ref="G421">_xlfn.IFS(
ISNUMBER(SEARCH("hold",C421)),"hold",
ISNUMBER(SEARCH("youth",C421)),"youth",
ISNUMBER(SEARCH("juve",C421)),"youth",
OR(ISNUMBER(SEARCH("health",B421)),ISNUMBER(SEARCH("care ",B421)),ISNUMBER(SEARCH("psych",B421)),ISNUMBER(SEARCH("medical",B421)),ISNUMBER(SEARCH("hospital",B421))),"medical",
ISNUMBER(SEARCH("correct",B421)),"correctional",
ISNUMBER(SEARCH("process",B421)),"processing",
ISNUMBER(SEARCH("detention center",B421)),"detention",
ISNUMBER(SEARCH("detention fac",B421)),"detention",
ISNUMBER(SEARCH("staging",B421)),"staging",
ISNUMBER(SEARCH("prison",B421)),"prison",
ISNUMBER(SEARCH("penet",B421)),"prison",
ISNUMBER(SEARCH("jail",B421)),"jail",
ISNUMBER(SEARCH("detention",B421)),"detention",
ISNUMBER(SEARCH("sheriff",B421)),"sheriff/police",
ISNUMBER(SEARCH("police",B421)),"sheriff/police",
TRUE,""
)</f>
        <v>jail</v>
      </c>
      <c r="H421">
        <f>INDEX(Sheet2!B:B,MATCH(C421,Sheet2!A:A,0),1)</f>
        <v>64</v>
      </c>
      <c r="I421">
        <f>3-COUNTBLANK(D421:F421)</f>
        <v>2</v>
      </c>
      <c r="J421">
        <f>IF(I421&gt;=2,H421,0)</f>
        <v>64</v>
      </c>
    </row>
    <row r="422" spans="1:10" x14ac:dyDescent="0.3">
      <c r="A422" t="s">
        <v>933</v>
      </c>
      <c r="B422" t="s">
        <v>1811</v>
      </c>
      <c r="C422" t="s">
        <v>1812</v>
      </c>
      <c r="D422" t="s">
        <v>134</v>
      </c>
      <c r="F422" t="s">
        <v>1813</v>
      </c>
      <c r="G422" t="str" cm="1">
        <f t="array" ref="G422">_xlfn.IFS(
ISNUMBER(SEARCH("hold",C422)),"hold",
ISNUMBER(SEARCH("youth",C422)),"youth",
ISNUMBER(SEARCH("juve",C422)),"youth",
OR(ISNUMBER(SEARCH("health",B422)),ISNUMBER(SEARCH("care ",B422)),ISNUMBER(SEARCH("psych",B422)),ISNUMBER(SEARCH("medical",B422)),ISNUMBER(SEARCH("hospital",B422))),"medical",
ISNUMBER(SEARCH("correct",B422)),"correctional",
ISNUMBER(SEARCH("process",B422)),"processing",
ISNUMBER(SEARCH("detention center",B422)),"detention",
ISNUMBER(SEARCH("detention fac",B422)),"detention",
ISNUMBER(SEARCH("staging",B422)),"staging",
ISNUMBER(SEARCH("prison",B422)),"prison",
ISNUMBER(SEARCH("penet",B422)),"prison",
ISNUMBER(SEARCH("jail",B422)),"jail",
ISNUMBER(SEARCH("detention",B422)),"detention",
ISNUMBER(SEARCH("sheriff",B422)),"sheriff/police",
ISNUMBER(SEARCH("police",B422)),"sheriff/police",
TRUE,""
)</f>
        <v>jail</v>
      </c>
      <c r="H422">
        <f>INDEX(Sheet2!B:B,MATCH(C422,Sheet2!A:A,0),1)</f>
        <v>63</v>
      </c>
      <c r="I422">
        <f>3-COUNTBLANK(D422:F422)</f>
        <v>2</v>
      </c>
      <c r="J422">
        <f>IF(I422&gt;=2,H422,0)</f>
        <v>63</v>
      </c>
    </row>
    <row r="423" spans="1:10" x14ac:dyDescent="0.3">
      <c r="A423" t="s">
        <v>936</v>
      </c>
      <c r="B423" t="s">
        <v>2532</v>
      </c>
      <c r="C423" t="s">
        <v>1355</v>
      </c>
      <c r="D423" t="s">
        <v>50</v>
      </c>
      <c r="G423" t="str" cm="1">
        <f t="array" ref="G423">_xlfn.IFS(
ISNUMBER(SEARCH("hold",C423)),"hold",
ISNUMBER(SEARCH("youth",C423)),"youth",
ISNUMBER(SEARCH("juve",C423)),"youth",
OR(ISNUMBER(SEARCH("health",B423)),ISNUMBER(SEARCH("care ",B423)),ISNUMBER(SEARCH("psych",B423)),ISNUMBER(SEARCH("medical",B423)),ISNUMBER(SEARCH("hospital",B423))),"medical",
ISNUMBER(SEARCH("correct",B423)),"correctional",
ISNUMBER(SEARCH("process",B423)),"processing",
ISNUMBER(SEARCH("detention center",B423)),"detention",
ISNUMBER(SEARCH("detention fac",B423)),"detention",
ISNUMBER(SEARCH("staging",B423)),"staging",
ISNUMBER(SEARCH("prison",B423)),"prison",
ISNUMBER(SEARCH("penet",B423)),"prison",
ISNUMBER(SEARCH("jail",B423)),"jail",
ISNUMBER(SEARCH("detention",B423)),"detention",
ISNUMBER(SEARCH("sheriff",B423)),"sheriff/police",
ISNUMBER(SEARCH("police",B423)),"sheriff/police",
TRUE,""
)</f>
        <v>jail</v>
      </c>
      <c r="H423">
        <f>INDEX(Sheet2!B:B,MATCH(C423,Sheet2!A:A,0),1)</f>
        <v>62</v>
      </c>
      <c r="I423">
        <f>3-COUNTBLANK(D423:F423)</f>
        <v>1</v>
      </c>
      <c r="J423">
        <f>IF(I423&gt;=2,H423,0)</f>
        <v>0</v>
      </c>
    </row>
    <row r="424" spans="1:10" x14ac:dyDescent="0.3">
      <c r="A424" t="s">
        <v>939</v>
      </c>
      <c r="B424" t="s">
        <v>1808</v>
      </c>
      <c r="C424" t="s">
        <v>1809</v>
      </c>
      <c r="D424" t="s">
        <v>23</v>
      </c>
      <c r="G424" t="str" cm="1">
        <f t="array" ref="G424">_xlfn.IFS(
ISNUMBER(SEARCH("hold",C424)),"hold",
ISNUMBER(SEARCH("youth",C424)),"youth",
ISNUMBER(SEARCH("juve",C424)),"youth",
OR(ISNUMBER(SEARCH("health",B424)),ISNUMBER(SEARCH("care ",B424)),ISNUMBER(SEARCH("psych",B424)),ISNUMBER(SEARCH("medical",B424)),ISNUMBER(SEARCH("hospital",B424))),"medical",
ISNUMBER(SEARCH("correct",B424)),"correctional",
ISNUMBER(SEARCH("process",B424)),"processing",
ISNUMBER(SEARCH("detention center",B424)),"detention",
ISNUMBER(SEARCH("detention fac",B424)),"detention",
ISNUMBER(SEARCH("staging",B424)),"staging",
ISNUMBER(SEARCH("prison",B424)),"prison",
ISNUMBER(SEARCH("penet",B424)),"prison",
ISNUMBER(SEARCH("jail",B424)),"jail",
ISNUMBER(SEARCH("detention",B424)),"detention",
ISNUMBER(SEARCH("sheriff",B424)),"sheriff/police",
ISNUMBER(SEARCH("police",B424)),"sheriff/police",
TRUE,""
)</f>
        <v>medical</v>
      </c>
      <c r="H424">
        <f>INDEX(Sheet2!B:B,MATCH(C424,Sheet2!A:A,0),1)</f>
        <v>61</v>
      </c>
      <c r="I424">
        <f>3-COUNTBLANK(D424:F424)</f>
        <v>1</v>
      </c>
      <c r="J424">
        <f>IF(I424&gt;=2,H424,0)</f>
        <v>0</v>
      </c>
    </row>
    <row r="425" spans="1:10" x14ac:dyDescent="0.3">
      <c r="A425" t="s">
        <v>941</v>
      </c>
      <c r="B425" t="s">
        <v>619</v>
      </c>
      <c r="C425" t="s">
        <v>620</v>
      </c>
      <c r="D425" t="s">
        <v>72</v>
      </c>
      <c r="G425" t="str" cm="1">
        <f t="array" ref="G425">_xlfn.IFS(
ISNUMBER(SEARCH("hold",C425)),"hold",
ISNUMBER(SEARCH("youth",C425)),"youth",
ISNUMBER(SEARCH("juve",C425)),"youth",
OR(ISNUMBER(SEARCH("health",B425)),ISNUMBER(SEARCH("care ",B425)),ISNUMBER(SEARCH("psych",B425)),ISNUMBER(SEARCH("medical",B425)),ISNUMBER(SEARCH("hospital",B425))),"medical",
ISNUMBER(SEARCH("correct",B425)),"correctional",
ISNUMBER(SEARCH("process",B425)),"processing",
ISNUMBER(SEARCH("detention center",B425)),"detention",
ISNUMBER(SEARCH("detention fac",B425)),"detention",
ISNUMBER(SEARCH("staging",B425)),"staging",
ISNUMBER(SEARCH("prison",B425)),"prison",
ISNUMBER(SEARCH("penet",B425)),"prison",
ISNUMBER(SEARCH("jail",B425)),"jail",
ISNUMBER(SEARCH("detention",B425)),"detention",
ISNUMBER(SEARCH("sheriff",B425)),"sheriff/police",
ISNUMBER(SEARCH("police",B425)),"sheriff/police",
TRUE,""
)</f>
        <v>medical</v>
      </c>
      <c r="H425">
        <f>INDEX(Sheet2!B:B,MATCH(C425,Sheet2!A:A,0),1)</f>
        <v>61</v>
      </c>
      <c r="I425">
        <f>3-COUNTBLANK(D425:F425)</f>
        <v>1</v>
      </c>
      <c r="J425">
        <f>IF(I425&gt;=2,H425,0)</f>
        <v>0</v>
      </c>
    </row>
    <row r="426" spans="1:10" x14ac:dyDescent="0.3">
      <c r="A426" t="s">
        <v>943</v>
      </c>
      <c r="B426" t="s">
        <v>1762</v>
      </c>
      <c r="C426" t="s">
        <v>1763</v>
      </c>
      <c r="D426" t="s">
        <v>133</v>
      </c>
      <c r="F426" t="s">
        <v>2285</v>
      </c>
      <c r="G426" t="str" cm="1">
        <f t="array" ref="G426">_xlfn.IFS(
ISNUMBER(SEARCH("hold",C426)),"hold",
ISNUMBER(SEARCH("youth",C426)),"youth",
ISNUMBER(SEARCH("juve",C426)),"youth",
OR(ISNUMBER(SEARCH("health",B426)),ISNUMBER(SEARCH("care ",B426)),ISNUMBER(SEARCH("psych",B426)),ISNUMBER(SEARCH("medical",B426)),ISNUMBER(SEARCH("hospital",B426))),"medical",
ISNUMBER(SEARCH("correct",B426)),"correctional",
ISNUMBER(SEARCH("process",B426)),"processing",
ISNUMBER(SEARCH("detention center",B426)),"detention",
ISNUMBER(SEARCH("detention fac",B426)),"detention",
ISNUMBER(SEARCH("staging",B426)),"staging",
ISNUMBER(SEARCH("prison",B426)),"prison",
ISNUMBER(SEARCH("penet",B426)),"prison",
ISNUMBER(SEARCH("jail",B426)),"jail",
ISNUMBER(SEARCH("detention",B426)),"detention",
ISNUMBER(SEARCH("sheriff",B426)),"sheriff/police",
ISNUMBER(SEARCH("police",B426)),"sheriff/police",
TRUE,""
)</f>
        <v>jail</v>
      </c>
      <c r="H426">
        <f>INDEX(Sheet2!B:B,MATCH(C426,Sheet2!A:A,0),1)</f>
        <v>60</v>
      </c>
      <c r="I426">
        <f>3-COUNTBLANK(D426:F426)</f>
        <v>2</v>
      </c>
      <c r="J426">
        <f>IF(I426&gt;=2,H426,0)</f>
        <v>60</v>
      </c>
    </row>
    <row r="427" spans="1:10" x14ac:dyDescent="0.3">
      <c r="A427" t="s">
        <v>36</v>
      </c>
      <c r="B427" t="s">
        <v>454</v>
      </c>
      <c r="C427" t="s">
        <v>455</v>
      </c>
      <c r="D427" t="s">
        <v>141</v>
      </c>
      <c r="E427" s="3" t="s">
        <v>452</v>
      </c>
      <c r="G427" t="str" cm="1">
        <f t="array" ref="G427">_xlfn.IFS(
ISNUMBER(SEARCH("hold",C427)),"hold",
ISNUMBER(SEARCH("youth",C427)),"youth",
ISNUMBER(SEARCH("juve",C427)),"youth",
OR(ISNUMBER(SEARCH("health",B427)),ISNUMBER(SEARCH("care ",B427)),ISNUMBER(SEARCH("psych",B427)),ISNUMBER(SEARCH("medical",B427)),ISNUMBER(SEARCH("hospital",B427))),"medical",
ISNUMBER(SEARCH("correct",B427)),"correctional",
ISNUMBER(SEARCH("process",B427)),"processing",
ISNUMBER(SEARCH("detention center",B427)),"detention",
ISNUMBER(SEARCH("detention fac",B427)),"detention",
ISNUMBER(SEARCH("staging",B427)),"staging",
ISNUMBER(SEARCH("prison",B427)),"prison",
ISNUMBER(SEARCH("penet",B427)),"prison",
ISNUMBER(SEARCH("jail",B427)),"jail",
ISNUMBER(SEARCH("detention",B427)),"detention",
ISNUMBER(SEARCH("sheriff",B427)),"sheriff/police",
ISNUMBER(SEARCH("police",B427)),"sheriff/police",
TRUE,""
)</f>
        <v>detention</v>
      </c>
      <c r="H427">
        <f>INDEX(Sheet2!B:B,MATCH(C427,Sheet2!A:A,0),1)</f>
        <v>2175</v>
      </c>
      <c r="I427">
        <f>3-COUNTBLANK(D427:F427)</f>
        <v>2</v>
      </c>
      <c r="J427">
        <f>IF(I427&gt;=2,H427,0)</f>
        <v>2175</v>
      </c>
    </row>
    <row r="428" spans="1:10" x14ac:dyDescent="0.3">
      <c r="A428" t="s">
        <v>947</v>
      </c>
      <c r="B428" t="s">
        <v>790</v>
      </c>
      <c r="C428" t="s">
        <v>791</v>
      </c>
      <c r="D428" t="s">
        <v>6</v>
      </c>
      <c r="G428" t="str" cm="1">
        <f t="array" ref="G428">_xlfn.IFS(
ISNUMBER(SEARCH("hold",C428)),"hold",
ISNUMBER(SEARCH("youth",C428)),"youth",
ISNUMBER(SEARCH("juve",C428)),"youth",
OR(ISNUMBER(SEARCH("health",B428)),ISNUMBER(SEARCH("care ",B428)),ISNUMBER(SEARCH("psych",B428)),ISNUMBER(SEARCH("medical",B428)),ISNUMBER(SEARCH("hospital",B428))),"medical",
ISNUMBER(SEARCH("correct",B428)),"correctional",
ISNUMBER(SEARCH("process",B428)),"processing",
ISNUMBER(SEARCH("detention center",B428)),"detention",
ISNUMBER(SEARCH("detention fac",B428)),"detention",
ISNUMBER(SEARCH("staging",B428)),"staging",
ISNUMBER(SEARCH("prison",B428)),"prison",
ISNUMBER(SEARCH("penet",B428)),"prison",
ISNUMBER(SEARCH("jail",B428)),"jail",
ISNUMBER(SEARCH("detention",B428)),"detention",
ISNUMBER(SEARCH("sheriff",B428)),"sheriff/police",
ISNUMBER(SEARCH("police",B428)),"sheriff/police",
TRUE,""
)</f>
        <v>jail</v>
      </c>
      <c r="H428">
        <f>INDEX(Sheet2!B:B,MATCH(C428,Sheet2!A:A,0),1)</f>
        <v>59</v>
      </c>
      <c r="I428">
        <f>3-COUNTBLANK(D428:F428)</f>
        <v>1</v>
      </c>
      <c r="J428">
        <f>IF(I428&gt;=2,H428,0)</f>
        <v>0</v>
      </c>
    </row>
    <row r="429" spans="1:10" x14ac:dyDescent="0.3">
      <c r="A429" t="s">
        <v>950</v>
      </c>
      <c r="B429" t="s">
        <v>1903</v>
      </c>
      <c r="C429" t="s">
        <v>1904</v>
      </c>
      <c r="D429" t="s">
        <v>82</v>
      </c>
      <c r="F429" t="s">
        <v>2254</v>
      </c>
      <c r="G429" t="str" cm="1">
        <f t="array" ref="G429">_xlfn.IFS(
ISNUMBER(SEARCH("hold",C429)),"hold",
ISNUMBER(SEARCH("youth",C429)),"youth",
ISNUMBER(SEARCH("juve",C429)),"youth",
OR(ISNUMBER(SEARCH("health",B429)),ISNUMBER(SEARCH("care ",B429)),ISNUMBER(SEARCH("psych",B429)),ISNUMBER(SEARCH("medical",B429)),ISNUMBER(SEARCH("hospital",B429))),"medical",
ISNUMBER(SEARCH("correct",B429)),"correctional",
ISNUMBER(SEARCH("process",B429)),"processing",
ISNUMBER(SEARCH("detention center",B429)),"detention",
ISNUMBER(SEARCH("detention fac",B429)),"detention",
ISNUMBER(SEARCH("staging",B429)),"staging",
ISNUMBER(SEARCH("prison",B429)),"prison",
ISNUMBER(SEARCH("penet",B429)),"prison",
ISNUMBER(SEARCH("jail",B429)),"jail",
ISNUMBER(SEARCH("detention",B429)),"detention",
ISNUMBER(SEARCH("sheriff",B429)),"sheriff/police",
ISNUMBER(SEARCH("police",B429)),"sheriff/police",
TRUE,""
)</f>
        <v>jail</v>
      </c>
      <c r="H429">
        <f>INDEX(Sheet2!B:B,MATCH(C429,Sheet2!A:A,0),1)</f>
        <v>58</v>
      </c>
      <c r="I429">
        <f>3-COUNTBLANK(D429:F429)</f>
        <v>2</v>
      </c>
      <c r="J429">
        <f>IF(I429&gt;=2,H429,0)</f>
        <v>58</v>
      </c>
    </row>
    <row r="430" spans="1:10" x14ac:dyDescent="0.3">
      <c r="A430" t="s">
        <v>953</v>
      </c>
      <c r="B430" t="s">
        <v>331</v>
      </c>
      <c r="C430" t="s">
        <v>332</v>
      </c>
      <c r="D430" t="s">
        <v>72</v>
      </c>
      <c r="G430" t="str" cm="1">
        <f t="array" ref="G430">_xlfn.IFS(
ISNUMBER(SEARCH("hold",C430)),"hold",
ISNUMBER(SEARCH("youth",C430)),"youth",
ISNUMBER(SEARCH("juve",C430)),"youth",
OR(ISNUMBER(SEARCH("health",B430)),ISNUMBER(SEARCH("care ",B430)),ISNUMBER(SEARCH("psych",B430)),ISNUMBER(SEARCH("medical",B430)),ISNUMBER(SEARCH("hospital",B430))),"medical",
ISNUMBER(SEARCH("correct",B430)),"correctional",
ISNUMBER(SEARCH("process",B430)),"processing",
ISNUMBER(SEARCH("detention center",B430)),"detention",
ISNUMBER(SEARCH("detention fac",B430)),"detention",
ISNUMBER(SEARCH("staging",B430)),"staging",
ISNUMBER(SEARCH("prison",B430)),"prison",
ISNUMBER(SEARCH("penet",B430)),"prison",
ISNUMBER(SEARCH("jail",B430)),"jail",
ISNUMBER(SEARCH("detention",B430)),"detention",
ISNUMBER(SEARCH("sheriff",B430)),"sheriff/police",
ISNUMBER(SEARCH("police",B430)),"sheriff/police",
TRUE,""
)</f>
        <v>medical</v>
      </c>
      <c r="H430">
        <f>INDEX(Sheet2!B:B,MATCH(C430,Sheet2!A:A,0),1)</f>
        <v>57</v>
      </c>
      <c r="I430">
        <f>3-COUNTBLANK(D430:F430)</f>
        <v>1</v>
      </c>
      <c r="J430">
        <f>IF(I430&gt;=2,H430,0)</f>
        <v>0</v>
      </c>
    </row>
    <row r="431" spans="1:10" x14ac:dyDescent="0.3">
      <c r="A431" t="s">
        <v>956</v>
      </c>
      <c r="B431" t="s">
        <v>570</v>
      </c>
      <c r="C431" t="s">
        <v>571</v>
      </c>
      <c r="D431" t="s">
        <v>72</v>
      </c>
      <c r="F431" t="s">
        <v>2269</v>
      </c>
      <c r="G431" t="str" cm="1">
        <f t="array" ref="G431">_xlfn.IFS(
ISNUMBER(SEARCH("hold",C431)),"hold",
ISNUMBER(SEARCH("youth",C431)),"youth",
ISNUMBER(SEARCH("juve",C431)),"youth",
OR(ISNUMBER(SEARCH("health",B431)),ISNUMBER(SEARCH("care ",B431)),ISNUMBER(SEARCH("psych",B431)),ISNUMBER(SEARCH("medical",B431)),ISNUMBER(SEARCH("hospital",B431))),"medical",
ISNUMBER(SEARCH("correct",B431)),"correctional",
ISNUMBER(SEARCH("process",B431)),"processing",
ISNUMBER(SEARCH("detention center",B431)),"detention",
ISNUMBER(SEARCH("detention fac",B431)),"detention",
ISNUMBER(SEARCH("staging",B431)),"staging",
ISNUMBER(SEARCH("prison",B431)),"prison",
ISNUMBER(SEARCH("penet",B431)),"prison",
ISNUMBER(SEARCH("jail",B431)),"jail",
ISNUMBER(SEARCH("detention",B431)),"detention",
ISNUMBER(SEARCH("sheriff",B431)),"sheriff/police",
ISNUMBER(SEARCH("police",B431)),"sheriff/police",
TRUE,""
)</f>
        <v>jail</v>
      </c>
      <c r="H431">
        <f>INDEX(Sheet2!B:B,MATCH(C431,Sheet2!A:A,0),1)</f>
        <v>55</v>
      </c>
      <c r="I431">
        <f>3-COUNTBLANK(D431:F431)</f>
        <v>2</v>
      </c>
      <c r="J431">
        <f>IF(I431&gt;=2,H431,0)</f>
        <v>55</v>
      </c>
    </row>
    <row r="432" spans="1:10" x14ac:dyDescent="0.3">
      <c r="A432" t="s">
        <v>959</v>
      </c>
      <c r="B432" t="s">
        <v>1604</v>
      </c>
      <c r="C432" t="s">
        <v>1605</v>
      </c>
      <c r="D432" t="s">
        <v>35</v>
      </c>
      <c r="E432" t="s">
        <v>2414</v>
      </c>
      <c r="G432" t="str" cm="1">
        <f t="array" ref="G432">_xlfn.IFS(
ISNUMBER(SEARCH("hold",C432)),"hold",
ISNUMBER(SEARCH("youth",C432)),"youth",
ISNUMBER(SEARCH("juve",C432)),"youth",
OR(ISNUMBER(SEARCH("health",B432)),ISNUMBER(SEARCH("care ",B432)),ISNUMBER(SEARCH("psych",B432)),ISNUMBER(SEARCH("medical",B432)),ISNUMBER(SEARCH("hospital",B432))),"medical",
ISNUMBER(SEARCH("correct",B432)),"correctional",
ISNUMBER(SEARCH("process",B432)),"processing",
ISNUMBER(SEARCH("detention center",B432)),"detention",
ISNUMBER(SEARCH("detention fac",B432)),"detention",
ISNUMBER(SEARCH("staging",B432)),"staging",
ISNUMBER(SEARCH("prison",B432)),"prison",
ISNUMBER(SEARCH("penet",B432)),"prison",
ISNUMBER(SEARCH("jail",B432)),"jail",
ISNUMBER(SEARCH("detention",B432)),"detention",
ISNUMBER(SEARCH("sheriff",B432)),"sheriff/police",
ISNUMBER(SEARCH("police",B432)),"sheriff/police",
TRUE,""
)</f>
        <v>hold</v>
      </c>
      <c r="H432">
        <f>INDEX(Sheet2!B:B,MATCH(C432,Sheet2!A:A,0),1)</f>
        <v>54</v>
      </c>
      <c r="I432">
        <f>3-COUNTBLANK(D432:F432)</f>
        <v>2</v>
      </c>
      <c r="J432">
        <f>IF(I432&gt;=2,H432,0)</f>
        <v>54</v>
      </c>
    </row>
    <row r="433" spans="1:10" x14ac:dyDescent="0.3">
      <c r="A433" t="s">
        <v>963</v>
      </c>
      <c r="B433" t="s">
        <v>1786</v>
      </c>
      <c r="C433" t="s">
        <v>1787</v>
      </c>
      <c r="D433" t="s">
        <v>87</v>
      </c>
      <c r="F433" t="s">
        <v>2288</v>
      </c>
      <c r="G433" t="str" cm="1">
        <f t="array" ref="G433">_xlfn.IFS(
ISNUMBER(SEARCH("hold",C433)),"hold",
ISNUMBER(SEARCH("youth",C433)),"youth",
ISNUMBER(SEARCH("juve",C433)),"youth",
OR(ISNUMBER(SEARCH("health",B433)),ISNUMBER(SEARCH("care ",B433)),ISNUMBER(SEARCH("psych",B433)),ISNUMBER(SEARCH("medical",B433)),ISNUMBER(SEARCH("hospital",B433))),"medical",
ISNUMBER(SEARCH("correct",B433)),"correctional",
ISNUMBER(SEARCH("process",B433)),"processing",
ISNUMBER(SEARCH("detention center",B433)),"detention",
ISNUMBER(SEARCH("detention fac",B433)),"detention",
ISNUMBER(SEARCH("staging",B433)),"staging",
ISNUMBER(SEARCH("prison",B433)),"prison",
ISNUMBER(SEARCH("penet",B433)),"prison",
ISNUMBER(SEARCH("jail",B433)),"jail",
ISNUMBER(SEARCH("detention",B433)),"detention",
ISNUMBER(SEARCH("sheriff",B433)),"sheriff/police",
ISNUMBER(SEARCH("police",B433)),"sheriff/police",
TRUE,""
)</f>
        <v>jail</v>
      </c>
      <c r="H433">
        <f>INDEX(Sheet2!B:B,MATCH(C433,Sheet2!A:A,0),1)</f>
        <v>52</v>
      </c>
      <c r="I433">
        <f>3-COUNTBLANK(D433:F433)</f>
        <v>2</v>
      </c>
      <c r="J433">
        <f>IF(I433&gt;=2,H433,0)</f>
        <v>52</v>
      </c>
    </row>
    <row r="434" spans="1:10" x14ac:dyDescent="0.3">
      <c r="A434" t="s">
        <v>966</v>
      </c>
      <c r="B434" t="s">
        <v>559</v>
      </c>
      <c r="C434" t="s">
        <v>560</v>
      </c>
      <c r="D434" t="s">
        <v>72</v>
      </c>
      <c r="F434" t="s">
        <v>2224</v>
      </c>
      <c r="G434" t="str" cm="1">
        <f t="array" ref="G434">_xlfn.IFS(
ISNUMBER(SEARCH("hold",C434)),"hold",
ISNUMBER(SEARCH("youth",C434)),"youth",
ISNUMBER(SEARCH("juve",C434)),"youth",
OR(ISNUMBER(SEARCH("health",B434)),ISNUMBER(SEARCH("care ",B434)),ISNUMBER(SEARCH("psych",B434)),ISNUMBER(SEARCH("medical",B434)),ISNUMBER(SEARCH("hospital",B434))),"medical",
ISNUMBER(SEARCH("correct",B434)),"correctional",
ISNUMBER(SEARCH("process",B434)),"processing",
ISNUMBER(SEARCH("detention center",B434)),"detention",
ISNUMBER(SEARCH("detention fac",B434)),"detention",
ISNUMBER(SEARCH("staging",B434)),"staging",
ISNUMBER(SEARCH("prison",B434)),"prison",
ISNUMBER(SEARCH("penet",B434)),"prison",
ISNUMBER(SEARCH("jail",B434)),"jail",
ISNUMBER(SEARCH("detention",B434)),"detention",
ISNUMBER(SEARCH("sheriff",B434)),"sheriff/police",
ISNUMBER(SEARCH("police",B434)),"sheriff/police",
TRUE,""
)</f>
        <v>detention</v>
      </c>
      <c r="H434">
        <f>INDEX(Sheet2!B:B,MATCH(C434,Sheet2!A:A,0),1)</f>
        <v>51</v>
      </c>
      <c r="I434">
        <f>3-COUNTBLANK(D434:F434)</f>
        <v>2</v>
      </c>
      <c r="J434">
        <f>IF(I434&gt;=2,H434,0)</f>
        <v>51</v>
      </c>
    </row>
    <row r="435" spans="1:10" x14ac:dyDescent="0.3">
      <c r="A435" t="s">
        <v>1997</v>
      </c>
      <c r="B435" t="s">
        <v>1422</v>
      </c>
      <c r="C435" t="s">
        <v>1423</v>
      </c>
      <c r="D435" t="s">
        <v>55</v>
      </c>
      <c r="G435" t="str" cm="1">
        <f t="array" ref="G435">_xlfn.IFS(
ISNUMBER(SEARCH("hold",C435)),"hold",
ISNUMBER(SEARCH("youth",C435)),"youth",
ISNUMBER(SEARCH("juve",C435)),"youth",
OR(ISNUMBER(SEARCH("health",B435)),ISNUMBER(SEARCH("care ",B435)),ISNUMBER(SEARCH("psych",B435)),ISNUMBER(SEARCH("medical",B435)),ISNUMBER(SEARCH("hospital",B435))),"medical",
ISNUMBER(SEARCH("correct",B435)),"correctional",
ISNUMBER(SEARCH("process",B435)),"processing",
ISNUMBER(SEARCH("detention center",B435)),"detention",
ISNUMBER(SEARCH("detention fac",B435)),"detention",
ISNUMBER(SEARCH("staging",B435)),"staging",
ISNUMBER(SEARCH("prison",B435)),"prison",
ISNUMBER(SEARCH("penet",B435)),"prison",
ISNUMBER(SEARCH("jail",B435)),"jail",
ISNUMBER(SEARCH("detention",B435)),"detention",
ISNUMBER(SEARCH("sheriff",B435)),"sheriff/police",
ISNUMBER(SEARCH("police",B435)),"sheriff/police",
TRUE,""
)</f>
        <v>jail</v>
      </c>
      <c r="H435">
        <f>INDEX(Sheet2!B:B,MATCH(C435,Sheet2!A:A,0),1)</f>
        <v>50</v>
      </c>
      <c r="I435">
        <f>3-COUNTBLANK(D435:F435)</f>
        <v>1</v>
      </c>
      <c r="J435">
        <f>IF(I435&gt;=2,H435,0)</f>
        <v>0</v>
      </c>
    </row>
    <row r="436" spans="1:10" x14ac:dyDescent="0.3">
      <c r="A436" t="s">
        <v>1453</v>
      </c>
      <c r="B436" t="s">
        <v>1666</v>
      </c>
      <c r="C436" t="s">
        <v>1667</v>
      </c>
      <c r="D436" t="s">
        <v>50</v>
      </c>
      <c r="F436" t="s">
        <v>1668</v>
      </c>
      <c r="G436" t="str" cm="1">
        <f t="array" ref="G436">_xlfn.IFS(
ISNUMBER(SEARCH("hold",C436)),"hold",
ISNUMBER(SEARCH("youth",C436)),"youth",
ISNUMBER(SEARCH("juve",C436)),"youth",
OR(ISNUMBER(SEARCH("health",B436)),ISNUMBER(SEARCH("care ",B436)),ISNUMBER(SEARCH("psych",B436)),ISNUMBER(SEARCH("medical",B436)),ISNUMBER(SEARCH("hospital",B436))),"medical",
ISNUMBER(SEARCH("correct",B436)),"correctional",
ISNUMBER(SEARCH("process",B436)),"processing",
ISNUMBER(SEARCH("detention center",B436)),"detention",
ISNUMBER(SEARCH("detention fac",B436)),"detention",
ISNUMBER(SEARCH("staging",B436)),"staging",
ISNUMBER(SEARCH("prison",B436)),"prison",
ISNUMBER(SEARCH("penet",B436)),"prison",
ISNUMBER(SEARCH("jail",B436)),"jail",
ISNUMBER(SEARCH("detention",B436)),"detention",
ISNUMBER(SEARCH("sheriff",B436)),"sheriff/police",
ISNUMBER(SEARCH("police",B436)),"sheriff/police",
TRUE,""
)</f>
        <v/>
      </c>
      <c r="H436">
        <f>INDEX(Sheet2!B:B,MATCH(C436,Sheet2!A:A,0),1)</f>
        <v>1</v>
      </c>
      <c r="I436">
        <f>3-COUNTBLANK(D436:F436)</f>
        <v>2</v>
      </c>
      <c r="J436">
        <f>IF(I436&gt;=2,H436,0)</f>
        <v>1</v>
      </c>
    </row>
    <row r="437" spans="1:10" x14ac:dyDescent="0.3">
      <c r="A437" t="s">
        <v>969</v>
      </c>
      <c r="B437" t="s">
        <v>61</v>
      </c>
      <c r="C437" t="s">
        <v>62</v>
      </c>
      <c r="G437" t="str" cm="1">
        <f t="array" ref="G437">_xlfn.IFS(
ISNUMBER(SEARCH("hold",C437)),"hold",
ISNUMBER(SEARCH("youth",C437)),"youth",
ISNUMBER(SEARCH("juve",C437)),"youth",
OR(ISNUMBER(SEARCH("health",B437)),ISNUMBER(SEARCH("care ",B437)),ISNUMBER(SEARCH("psych",B437)),ISNUMBER(SEARCH("medical",B437)),ISNUMBER(SEARCH("hospital",B437))),"medical",
ISNUMBER(SEARCH("correct",B437)),"correctional",
ISNUMBER(SEARCH("process",B437)),"processing",
ISNUMBER(SEARCH("detention center",B437)),"detention",
ISNUMBER(SEARCH("detention fac",B437)),"detention",
ISNUMBER(SEARCH("staging",B437)),"staging",
ISNUMBER(SEARCH("prison",B437)),"prison",
ISNUMBER(SEARCH("penet",B437)),"prison",
ISNUMBER(SEARCH("jail",B437)),"jail",
ISNUMBER(SEARCH("detention",B437)),"detention",
ISNUMBER(SEARCH("sheriff",B437)),"sheriff/police",
ISNUMBER(SEARCH("police",B437)),"sheriff/police",
TRUE,""
)</f>
        <v>correctional</v>
      </c>
      <c r="H437">
        <f>INDEX(Sheet2!B:B,MATCH(C437,Sheet2!A:A,0),1)</f>
        <v>42</v>
      </c>
      <c r="I437">
        <f>3-COUNTBLANK(D437:F437)</f>
        <v>0</v>
      </c>
      <c r="J437">
        <f>IF(I437&gt;=2,H437,0)</f>
        <v>0</v>
      </c>
    </row>
    <row r="438" spans="1:10" x14ac:dyDescent="0.3">
      <c r="A438" t="s">
        <v>1276</v>
      </c>
      <c r="B438" t="s">
        <v>421</v>
      </c>
      <c r="C438" t="s">
        <v>422</v>
      </c>
      <c r="D438" t="s">
        <v>72</v>
      </c>
      <c r="G438" t="str" cm="1">
        <f t="array" ref="G438">_xlfn.IFS(
ISNUMBER(SEARCH("hold",C438)),"hold",
ISNUMBER(SEARCH("youth",C438)),"youth",
ISNUMBER(SEARCH("juve",C438)),"youth",
OR(ISNUMBER(SEARCH("health",B438)),ISNUMBER(SEARCH("care ",B438)),ISNUMBER(SEARCH("psych",B438)),ISNUMBER(SEARCH("medical",B438)),ISNUMBER(SEARCH("hospital",B438))),"medical",
ISNUMBER(SEARCH("correct",B438)),"correctional",
ISNUMBER(SEARCH("process",B438)),"processing",
ISNUMBER(SEARCH("detention center",B438)),"detention",
ISNUMBER(SEARCH("detention fac",B438)),"detention",
ISNUMBER(SEARCH("staging",B438)),"staging",
ISNUMBER(SEARCH("prison",B438)),"prison",
ISNUMBER(SEARCH("penet",B438)),"prison",
ISNUMBER(SEARCH("jail",B438)),"jail",
ISNUMBER(SEARCH("detention",B438)),"detention",
ISNUMBER(SEARCH("sheriff",B438)),"sheriff/police",
ISNUMBER(SEARCH("police",B438)),"sheriff/police",
TRUE,""
)</f>
        <v>sheriff/police</v>
      </c>
      <c r="H438">
        <f>INDEX(Sheet2!B:B,MATCH(C438,Sheet2!A:A,0),1)</f>
        <v>4</v>
      </c>
      <c r="I438">
        <f>3-COUNTBLANK(D438:F438)</f>
        <v>1</v>
      </c>
      <c r="J438">
        <f>IF(I438&gt;=2,H438,0)</f>
        <v>0</v>
      </c>
    </row>
    <row r="439" spans="1:10" x14ac:dyDescent="0.3">
      <c r="A439" t="s">
        <v>976</v>
      </c>
      <c r="B439" t="s">
        <v>221</v>
      </c>
      <c r="C439" t="s">
        <v>222</v>
      </c>
      <c r="G439" t="str" cm="1">
        <f t="array" ref="G439">_xlfn.IFS(
ISNUMBER(SEARCH("hold",C439)),"hold",
ISNUMBER(SEARCH("youth",C439)),"youth",
ISNUMBER(SEARCH("juve",C439)),"youth",
OR(ISNUMBER(SEARCH("health",B439)),ISNUMBER(SEARCH("care ",B439)),ISNUMBER(SEARCH("psych",B439)),ISNUMBER(SEARCH("medical",B439)),ISNUMBER(SEARCH("hospital",B439))),"medical",
ISNUMBER(SEARCH("correct",B439)),"correctional",
ISNUMBER(SEARCH("process",B439)),"processing",
ISNUMBER(SEARCH("detention center",B439)),"detention",
ISNUMBER(SEARCH("detention fac",B439)),"detention",
ISNUMBER(SEARCH("staging",B439)),"staging",
ISNUMBER(SEARCH("prison",B439)),"prison",
ISNUMBER(SEARCH("penet",B439)),"prison",
ISNUMBER(SEARCH("jail",B439)),"jail",
ISNUMBER(SEARCH("detention",B439)),"detention",
ISNUMBER(SEARCH("sheriff",B439)),"sheriff/police",
ISNUMBER(SEARCH("police",B439)),"sheriff/police",
TRUE,""
)</f>
        <v>hold</v>
      </c>
      <c r="H439">
        <f>INDEX(Sheet2!B:B,MATCH(C439,Sheet2!A:A,0),1)</f>
        <v>38</v>
      </c>
      <c r="I439">
        <f>3-COUNTBLANK(D439:F439)</f>
        <v>0</v>
      </c>
      <c r="J439">
        <f>IF(I439&gt;=2,H439,0)</f>
        <v>0</v>
      </c>
    </row>
    <row r="440" spans="1:10" x14ac:dyDescent="0.3">
      <c r="A440" t="s">
        <v>979</v>
      </c>
      <c r="B440" t="s">
        <v>1005</v>
      </c>
      <c r="C440" t="s">
        <v>1006</v>
      </c>
      <c r="G440" t="str" cm="1">
        <f t="array" ref="G440">_xlfn.IFS(
ISNUMBER(SEARCH("hold",C440)),"hold",
ISNUMBER(SEARCH("youth",C440)),"youth",
ISNUMBER(SEARCH("juve",C440)),"youth",
OR(ISNUMBER(SEARCH("health",B440)),ISNUMBER(SEARCH("care ",B440)),ISNUMBER(SEARCH("psych",B440)),ISNUMBER(SEARCH("medical",B440)),ISNUMBER(SEARCH("hospital",B440))),"medical",
ISNUMBER(SEARCH("correct",B440)),"correctional",
ISNUMBER(SEARCH("process",B440)),"processing",
ISNUMBER(SEARCH("detention center",B440)),"detention",
ISNUMBER(SEARCH("detention fac",B440)),"detention",
ISNUMBER(SEARCH("staging",B440)),"staging",
ISNUMBER(SEARCH("prison",B440)),"prison",
ISNUMBER(SEARCH("penet",B440)),"prison",
ISNUMBER(SEARCH("jail",B440)),"jail",
ISNUMBER(SEARCH("detention",B440)),"detention",
ISNUMBER(SEARCH("sheriff",B440)),"sheriff/police",
ISNUMBER(SEARCH("police",B440)),"sheriff/police",
TRUE,""
)</f>
        <v>hold</v>
      </c>
      <c r="H440">
        <f>INDEX(Sheet2!B:B,MATCH(C440,Sheet2!A:A,0),1)</f>
        <v>38</v>
      </c>
      <c r="I440">
        <f>3-COUNTBLANK(D440:F440)</f>
        <v>0</v>
      </c>
      <c r="J440">
        <f>IF(I440&gt;=2,H440,0)</f>
        <v>0</v>
      </c>
    </row>
    <row r="441" spans="1:10" x14ac:dyDescent="0.3">
      <c r="A441" t="s">
        <v>1520</v>
      </c>
      <c r="B441" t="s">
        <v>796</v>
      </c>
      <c r="C441" t="s">
        <v>797</v>
      </c>
      <c r="D441" t="s">
        <v>88</v>
      </c>
      <c r="G441" t="str" cm="1">
        <f t="array" ref="G441">_xlfn.IFS(
ISNUMBER(SEARCH("hold",C441)),"hold",
ISNUMBER(SEARCH("youth",C441)),"youth",
ISNUMBER(SEARCH("juve",C441)),"youth",
OR(ISNUMBER(SEARCH("health",B441)),ISNUMBER(SEARCH("care ",B441)),ISNUMBER(SEARCH("psych",B441)),ISNUMBER(SEARCH("medical",B441)),ISNUMBER(SEARCH("hospital",B441))),"medical",
ISNUMBER(SEARCH("correct",B441)),"correctional",
ISNUMBER(SEARCH("process",B441)),"processing",
ISNUMBER(SEARCH("detention center",B441)),"detention",
ISNUMBER(SEARCH("detention fac",B441)),"detention",
ISNUMBER(SEARCH("staging",B441)),"staging",
ISNUMBER(SEARCH("prison",B441)),"prison",
ISNUMBER(SEARCH("penet",B441)),"prison",
ISNUMBER(SEARCH("jail",B441)),"jail",
ISNUMBER(SEARCH("detention",B441)),"detention",
ISNUMBER(SEARCH("sheriff",B441)),"sheriff/police",
ISNUMBER(SEARCH("police",B441)),"sheriff/police",
TRUE,""
)</f>
        <v/>
      </c>
      <c r="H441">
        <f>INDEX(Sheet2!B:B,MATCH(C441,Sheet2!A:A,0),1)</f>
        <v>1</v>
      </c>
      <c r="I441">
        <f>3-COUNTBLANK(D441:F441)</f>
        <v>1</v>
      </c>
      <c r="J441">
        <f>IF(I441&gt;=2,H441,0)</f>
        <v>0</v>
      </c>
    </row>
    <row r="442" spans="1:10" x14ac:dyDescent="0.3">
      <c r="A442" t="s">
        <v>982</v>
      </c>
      <c r="B442" t="s">
        <v>150</v>
      </c>
      <c r="C442" t="s">
        <v>151</v>
      </c>
      <c r="D442" t="s">
        <v>35</v>
      </c>
      <c r="E442" t="s">
        <v>2492</v>
      </c>
      <c r="G442" t="str" cm="1">
        <f t="array" ref="G442">_xlfn.IFS(
ISNUMBER(SEARCH("hold",C442)),"hold",
ISNUMBER(SEARCH("youth",C442)),"youth",
ISNUMBER(SEARCH("juve",C442)),"youth",
OR(ISNUMBER(SEARCH("health",B442)),ISNUMBER(SEARCH("care ",B442)),ISNUMBER(SEARCH("psych",B442)),ISNUMBER(SEARCH("medical",B442)),ISNUMBER(SEARCH("hospital",B442))),"medical",
ISNUMBER(SEARCH("correct",B442)),"correctional",
ISNUMBER(SEARCH("process",B442)),"processing",
ISNUMBER(SEARCH("detention center",B442)),"detention",
ISNUMBER(SEARCH("detention fac",B442)),"detention",
ISNUMBER(SEARCH("staging",B442)),"staging",
ISNUMBER(SEARCH("prison",B442)),"prison",
ISNUMBER(SEARCH("penet",B442)),"prison",
ISNUMBER(SEARCH("jail",B442)),"jail",
ISNUMBER(SEARCH("detention",B442)),"detention",
ISNUMBER(SEARCH("sheriff",B442)),"sheriff/police",
ISNUMBER(SEARCH("police",B442)),"sheriff/police",
TRUE,""
)</f>
        <v>hold</v>
      </c>
      <c r="H442">
        <f>INDEX(Sheet2!B:B,MATCH(C442,Sheet2!A:A,0),1)</f>
        <v>37</v>
      </c>
      <c r="I442">
        <f>3-COUNTBLANK(D442:F442)</f>
        <v>2</v>
      </c>
      <c r="J442">
        <f>IF(I442&gt;=2,H442,0)</f>
        <v>37</v>
      </c>
    </row>
    <row r="443" spans="1:10" x14ac:dyDescent="0.3">
      <c r="A443" t="s">
        <v>985</v>
      </c>
      <c r="B443" t="s">
        <v>781</v>
      </c>
      <c r="C443" t="s">
        <v>782</v>
      </c>
      <c r="D443" t="s">
        <v>72</v>
      </c>
      <c r="G443" t="str" cm="1">
        <f t="array" ref="G443">_xlfn.IFS(
ISNUMBER(SEARCH("hold",C443)),"hold",
ISNUMBER(SEARCH("youth",C443)),"youth",
ISNUMBER(SEARCH("juve",C443)),"youth",
OR(ISNUMBER(SEARCH("health",B443)),ISNUMBER(SEARCH("care ",B443)),ISNUMBER(SEARCH("psych",B443)),ISNUMBER(SEARCH("medical",B443)),ISNUMBER(SEARCH("hospital",B443))),"medical",
ISNUMBER(SEARCH("correct",B443)),"correctional",
ISNUMBER(SEARCH("process",B443)),"processing",
ISNUMBER(SEARCH("detention center",B443)),"detention",
ISNUMBER(SEARCH("detention fac",B443)),"detention",
ISNUMBER(SEARCH("staging",B443)),"staging",
ISNUMBER(SEARCH("prison",B443)),"prison",
ISNUMBER(SEARCH("penet",B443)),"prison",
ISNUMBER(SEARCH("jail",B443)),"jail",
ISNUMBER(SEARCH("detention",B443)),"detention",
ISNUMBER(SEARCH("sheriff",B443)),"sheriff/police",
ISNUMBER(SEARCH("police",B443)),"sheriff/police",
TRUE,""
)</f>
        <v>medical</v>
      </c>
      <c r="H443">
        <f>INDEX(Sheet2!B:B,MATCH(C443,Sheet2!A:A,0),1)</f>
        <v>37</v>
      </c>
      <c r="I443">
        <f>3-COUNTBLANK(D443:F443)</f>
        <v>1</v>
      </c>
      <c r="J443">
        <f>IF(I443&gt;=2,H443,0)</f>
        <v>0</v>
      </c>
    </row>
    <row r="444" spans="1:10" x14ac:dyDescent="0.3">
      <c r="A444" t="s">
        <v>988</v>
      </c>
      <c r="B444" t="s">
        <v>183</v>
      </c>
      <c r="C444" t="s">
        <v>184</v>
      </c>
      <c r="D444" t="s">
        <v>72</v>
      </c>
      <c r="E444" t="s">
        <v>2234</v>
      </c>
      <c r="F444" t="s">
        <v>2234</v>
      </c>
      <c r="G444" t="str" cm="1">
        <f t="array" ref="G444">_xlfn.IFS(
ISNUMBER(SEARCH("hold",C444)),"hold",
ISNUMBER(SEARCH("youth",C444)),"youth",
ISNUMBER(SEARCH("juve",C444)),"youth",
OR(ISNUMBER(SEARCH("health",B444)),ISNUMBER(SEARCH("care ",B444)),ISNUMBER(SEARCH("psych",B444)),ISNUMBER(SEARCH("medical",B444)),ISNUMBER(SEARCH("hospital",B444))),"medical",
ISNUMBER(SEARCH("correct",B444)),"correctional",
ISNUMBER(SEARCH("process",B444)),"processing",
ISNUMBER(SEARCH("detention center",B444)),"detention",
ISNUMBER(SEARCH("detention fac",B444)),"detention",
ISNUMBER(SEARCH("staging",B444)),"staging",
ISNUMBER(SEARCH("prison",B444)),"prison",
ISNUMBER(SEARCH("penet",B444)),"prison",
ISNUMBER(SEARCH("jail",B444)),"jail",
ISNUMBER(SEARCH("detention",B444)),"detention",
ISNUMBER(SEARCH("sheriff",B444)),"sheriff/police",
ISNUMBER(SEARCH("police",B444)),"sheriff/police",
TRUE,""
)</f>
        <v>medical</v>
      </c>
      <c r="H444">
        <f>INDEX(Sheet2!B:B,MATCH(C444,Sheet2!A:A,0),1)</f>
        <v>37</v>
      </c>
      <c r="I444">
        <f>3-COUNTBLANK(D444:F444)</f>
        <v>3</v>
      </c>
      <c r="J444">
        <f>IF(I444&gt;=2,H444,0)</f>
        <v>37</v>
      </c>
    </row>
    <row r="445" spans="1:10" x14ac:dyDescent="0.3">
      <c r="A445" t="s">
        <v>992</v>
      </c>
      <c r="B445" t="s">
        <v>843</v>
      </c>
      <c r="C445" t="s">
        <v>844</v>
      </c>
      <c r="D445" t="s">
        <v>6</v>
      </c>
      <c r="F445" t="s">
        <v>2336</v>
      </c>
      <c r="G445" t="str" cm="1">
        <f t="array" ref="G445">_xlfn.IFS(
ISNUMBER(SEARCH("hold",C445)),"hold",
ISNUMBER(SEARCH("youth",C445)),"youth",
ISNUMBER(SEARCH("juve",C445)),"youth",
OR(ISNUMBER(SEARCH("health",B445)),ISNUMBER(SEARCH("care ",B445)),ISNUMBER(SEARCH("psych",B445)),ISNUMBER(SEARCH("medical",B445)),ISNUMBER(SEARCH("hospital",B445))),"medical",
ISNUMBER(SEARCH("correct",B445)),"correctional",
ISNUMBER(SEARCH("process",B445)),"processing",
ISNUMBER(SEARCH("detention center",B445)),"detention",
ISNUMBER(SEARCH("detention fac",B445)),"detention",
ISNUMBER(SEARCH("staging",B445)),"staging",
ISNUMBER(SEARCH("prison",B445)),"prison",
ISNUMBER(SEARCH("penet",B445)),"prison",
ISNUMBER(SEARCH("jail",B445)),"jail",
ISNUMBER(SEARCH("detention",B445)),"detention",
ISNUMBER(SEARCH("sheriff",B445)),"sheriff/police",
ISNUMBER(SEARCH("police",B445)),"sheriff/police",
TRUE,""
)</f>
        <v>jail</v>
      </c>
      <c r="H445">
        <f>INDEX(Sheet2!B:B,MATCH(C445,Sheet2!A:A,0),1)</f>
        <v>36</v>
      </c>
      <c r="I445">
        <f>3-COUNTBLANK(D445:F445)</f>
        <v>2</v>
      </c>
      <c r="J445">
        <f>IF(I445&gt;=2,H445,0)</f>
        <v>36</v>
      </c>
    </row>
    <row r="446" spans="1:10" x14ac:dyDescent="0.3">
      <c r="A446" t="s">
        <v>995</v>
      </c>
      <c r="B446" t="s">
        <v>1454</v>
      </c>
      <c r="C446" t="s">
        <v>1455</v>
      </c>
      <c r="D446" t="s">
        <v>72</v>
      </c>
      <c r="F446" t="s">
        <v>1456</v>
      </c>
      <c r="G446" t="str" cm="1">
        <f t="array" ref="G446">_xlfn.IFS(
ISNUMBER(SEARCH("hold",C446)),"hold",
ISNUMBER(SEARCH("youth",C446)),"youth",
ISNUMBER(SEARCH("juve",C446)),"youth",
OR(ISNUMBER(SEARCH("health",B446)),ISNUMBER(SEARCH("care ",B446)),ISNUMBER(SEARCH("psych",B446)),ISNUMBER(SEARCH("medical",B446)),ISNUMBER(SEARCH("hospital",B446))),"medical",
ISNUMBER(SEARCH("correct",B446)),"correctional",
ISNUMBER(SEARCH("process",B446)),"processing",
ISNUMBER(SEARCH("detention center",B446)),"detention",
ISNUMBER(SEARCH("detention fac",B446)),"detention",
ISNUMBER(SEARCH("staging",B446)),"staging",
ISNUMBER(SEARCH("prison",B446)),"prison",
ISNUMBER(SEARCH("penet",B446)),"prison",
ISNUMBER(SEARCH("jail",B446)),"jail",
ISNUMBER(SEARCH("detention",B446)),"detention",
ISNUMBER(SEARCH("sheriff",B446)),"sheriff/police",
ISNUMBER(SEARCH("police",B446)),"sheriff/police",
TRUE,""
)</f>
        <v>jail</v>
      </c>
      <c r="H446">
        <f>INDEX(Sheet2!B:B,MATCH(C446,Sheet2!A:A,0),1)</f>
        <v>36</v>
      </c>
      <c r="I446">
        <f>3-COUNTBLANK(D446:F446)</f>
        <v>2</v>
      </c>
      <c r="J446">
        <f>IF(I446&gt;=2,H446,0)</f>
        <v>36</v>
      </c>
    </row>
    <row r="447" spans="1:10" x14ac:dyDescent="0.3">
      <c r="A447" t="s">
        <v>998</v>
      </c>
      <c r="B447" t="s">
        <v>1697</v>
      </c>
      <c r="C447" t="s">
        <v>1698</v>
      </c>
      <c r="D447" t="s">
        <v>189</v>
      </c>
      <c r="F447" t="s">
        <v>1699</v>
      </c>
      <c r="G447" t="str" cm="1">
        <f t="array" ref="G447">_xlfn.IFS(
ISNUMBER(SEARCH("hold",C447)),"hold",
ISNUMBER(SEARCH("youth",C447)),"youth",
ISNUMBER(SEARCH("juve",C447)),"youth",
OR(ISNUMBER(SEARCH("health",B447)),ISNUMBER(SEARCH("care ",B447)),ISNUMBER(SEARCH("psych",B447)),ISNUMBER(SEARCH("medical",B447)),ISNUMBER(SEARCH("hospital",B447))),"medical",
ISNUMBER(SEARCH("correct",B447)),"correctional",
ISNUMBER(SEARCH("process",B447)),"processing",
ISNUMBER(SEARCH("detention center",B447)),"detention",
ISNUMBER(SEARCH("detention fac",B447)),"detention",
ISNUMBER(SEARCH("staging",B447)),"staging",
ISNUMBER(SEARCH("prison",B447)),"prison",
ISNUMBER(SEARCH("penet",B447)),"prison",
ISNUMBER(SEARCH("jail",B447)),"jail",
ISNUMBER(SEARCH("detention",B447)),"detention",
ISNUMBER(SEARCH("sheriff",B447)),"sheriff/police",
ISNUMBER(SEARCH("police",B447)),"sheriff/police",
TRUE,""
)</f>
        <v>medical</v>
      </c>
      <c r="H447">
        <f>INDEX(Sheet2!B:B,MATCH(C447,Sheet2!A:A,0),1)</f>
        <v>34</v>
      </c>
      <c r="I447">
        <f>3-COUNTBLANK(D447:F447)</f>
        <v>2</v>
      </c>
      <c r="J447">
        <f>IF(I447&gt;=2,H447,0)</f>
        <v>34</v>
      </c>
    </row>
    <row r="448" spans="1:10" x14ac:dyDescent="0.3">
      <c r="A448" t="s">
        <v>1001</v>
      </c>
      <c r="B448" t="s">
        <v>1524</v>
      </c>
      <c r="C448" t="s">
        <v>1525</v>
      </c>
      <c r="D448" t="s">
        <v>87</v>
      </c>
      <c r="F448" t="s">
        <v>2387</v>
      </c>
      <c r="G448" t="str" cm="1">
        <f t="array" ref="G448">_xlfn.IFS(
ISNUMBER(SEARCH("hold",C448)),"hold",
ISNUMBER(SEARCH("youth",C448)),"youth",
ISNUMBER(SEARCH("juve",C448)),"youth",
OR(ISNUMBER(SEARCH("health",B448)),ISNUMBER(SEARCH("care ",B448)),ISNUMBER(SEARCH("psych",B448)),ISNUMBER(SEARCH("medical",B448)),ISNUMBER(SEARCH("hospital",B448))),"medical",
ISNUMBER(SEARCH("correct",B448)),"correctional",
ISNUMBER(SEARCH("process",B448)),"processing",
ISNUMBER(SEARCH("detention center",B448)),"detention",
ISNUMBER(SEARCH("detention fac",B448)),"detention",
ISNUMBER(SEARCH("staging",B448)),"staging",
ISNUMBER(SEARCH("prison",B448)),"prison",
ISNUMBER(SEARCH("penet",B448)),"prison",
ISNUMBER(SEARCH("jail",B448)),"jail",
ISNUMBER(SEARCH("detention",B448)),"detention",
ISNUMBER(SEARCH("sheriff",B448)),"sheriff/police",
ISNUMBER(SEARCH("police",B448)),"sheriff/police",
TRUE,""
)</f>
        <v>jail</v>
      </c>
      <c r="H448">
        <f>INDEX(Sheet2!B:B,MATCH(C448,Sheet2!A:A,0),1)</f>
        <v>34</v>
      </c>
      <c r="I448">
        <f>3-COUNTBLANK(D448:F448)</f>
        <v>2</v>
      </c>
      <c r="J448">
        <f>IF(I448&gt;=2,H448,0)</f>
        <v>34</v>
      </c>
    </row>
    <row r="449" spans="1:10" x14ac:dyDescent="0.3">
      <c r="A449" t="s">
        <v>1004</v>
      </c>
      <c r="B449" t="s">
        <v>308</v>
      </c>
      <c r="C449" t="s">
        <v>309</v>
      </c>
      <c r="D449" t="s">
        <v>27</v>
      </c>
      <c r="E449" t="s">
        <v>2493</v>
      </c>
      <c r="G449" t="str" cm="1">
        <f t="array" ref="G449">_xlfn.IFS(
ISNUMBER(SEARCH("hold",C449)),"hold",
ISNUMBER(SEARCH("youth",C449)),"youth",
ISNUMBER(SEARCH("juve",C449)),"youth",
OR(ISNUMBER(SEARCH("health",B449)),ISNUMBER(SEARCH("care ",B449)),ISNUMBER(SEARCH("psych",B449)),ISNUMBER(SEARCH("medical",B449)),ISNUMBER(SEARCH("hospital",B449))),"medical",
ISNUMBER(SEARCH("correct",B449)),"correctional",
ISNUMBER(SEARCH("process",B449)),"processing",
ISNUMBER(SEARCH("detention center",B449)),"detention",
ISNUMBER(SEARCH("detention fac",B449)),"detention",
ISNUMBER(SEARCH("staging",B449)),"staging",
ISNUMBER(SEARCH("prison",B449)),"prison",
ISNUMBER(SEARCH("penet",B449)),"prison",
ISNUMBER(SEARCH("jail",B449)),"jail",
ISNUMBER(SEARCH("detention",B449)),"detention",
ISNUMBER(SEARCH("sheriff",B449)),"sheriff/police",
ISNUMBER(SEARCH("police",B449)),"sheriff/police",
TRUE,""
)</f>
        <v>hold</v>
      </c>
      <c r="H449">
        <f>INDEX(Sheet2!B:B,MATCH(C449,Sheet2!A:A,0),1)</f>
        <v>33</v>
      </c>
      <c r="I449">
        <f>3-COUNTBLANK(D449:F449)</f>
        <v>2</v>
      </c>
      <c r="J449">
        <f>IF(I449&gt;=2,H449,0)</f>
        <v>33</v>
      </c>
    </row>
    <row r="450" spans="1:10" x14ac:dyDescent="0.3">
      <c r="A450" t="s">
        <v>1007</v>
      </c>
      <c r="B450" t="s">
        <v>311</v>
      </c>
      <c r="C450" t="s">
        <v>312</v>
      </c>
      <c r="D450" t="s">
        <v>185</v>
      </c>
      <c r="F450" t="s">
        <v>2315</v>
      </c>
      <c r="G450" t="str" cm="1">
        <f t="array" ref="G450">_xlfn.IFS(
ISNUMBER(SEARCH("hold",C450)),"hold",
ISNUMBER(SEARCH("youth",C450)),"youth",
ISNUMBER(SEARCH("juve",C450)),"youth",
OR(ISNUMBER(SEARCH("health",B450)),ISNUMBER(SEARCH("care ",B450)),ISNUMBER(SEARCH("psych",B450)),ISNUMBER(SEARCH("medical",B450)),ISNUMBER(SEARCH("hospital",B450))),"medical",
ISNUMBER(SEARCH("correct",B450)),"correctional",
ISNUMBER(SEARCH("process",B450)),"processing",
ISNUMBER(SEARCH("detention center",B450)),"detention",
ISNUMBER(SEARCH("detention fac",B450)),"detention",
ISNUMBER(SEARCH("staging",B450)),"staging",
ISNUMBER(SEARCH("prison",B450)),"prison",
ISNUMBER(SEARCH("penet",B450)),"prison",
ISNUMBER(SEARCH("jail",B450)),"jail",
ISNUMBER(SEARCH("detention",B450)),"detention",
ISNUMBER(SEARCH("sheriff",B450)),"sheriff/police",
ISNUMBER(SEARCH("police",B450)),"sheriff/police",
TRUE,""
)</f>
        <v>jail</v>
      </c>
      <c r="H450">
        <f>INDEX(Sheet2!B:B,MATCH(C450,Sheet2!A:A,0),1)</f>
        <v>32</v>
      </c>
      <c r="I450">
        <f>3-COUNTBLANK(D450:F450)</f>
        <v>2</v>
      </c>
      <c r="J450">
        <f>IF(I450&gt;=2,H450,0)</f>
        <v>32</v>
      </c>
    </row>
    <row r="451" spans="1:10" x14ac:dyDescent="0.3">
      <c r="A451" t="s">
        <v>1010</v>
      </c>
      <c r="B451" t="s">
        <v>613</v>
      </c>
      <c r="C451" t="s">
        <v>614</v>
      </c>
      <c r="D451" t="s">
        <v>238</v>
      </c>
      <c r="F451" t="s">
        <v>2427</v>
      </c>
      <c r="G451" t="str" cm="1">
        <f t="array" ref="G451">_xlfn.IFS(
ISNUMBER(SEARCH("hold",C451)),"hold",
ISNUMBER(SEARCH("youth",C451)),"youth",
ISNUMBER(SEARCH("juve",C451)),"youth",
OR(ISNUMBER(SEARCH("health",B451)),ISNUMBER(SEARCH("care ",B451)),ISNUMBER(SEARCH("psych",B451)),ISNUMBER(SEARCH("medical",B451)),ISNUMBER(SEARCH("hospital",B451))),"medical",
ISNUMBER(SEARCH("correct",B451)),"correctional",
ISNUMBER(SEARCH("process",B451)),"processing",
ISNUMBER(SEARCH("detention center",B451)),"detention",
ISNUMBER(SEARCH("detention fac",B451)),"detention",
ISNUMBER(SEARCH("staging",B451)),"staging",
ISNUMBER(SEARCH("prison",B451)),"prison",
ISNUMBER(SEARCH("penet",B451)),"prison",
ISNUMBER(SEARCH("jail",B451)),"jail",
ISNUMBER(SEARCH("detention",B451)),"detention",
ISNUMBER(SEARCH("sheriff",B451)),"sheriff/police",
ISNUMBER(SEARCH("police",B451)),"sheriff/police",
TRUE,""
)</f>
        <v>jail</v>
      </c>
      <c r="H451">
        <f>INDEX(Sheet2!B:B,MATCH(C451,Sheet2!A:A,0),1)</f>
        <v>31</v>
      </c>
      <c r="I451">
        <f>3-COUNTBLANK(D451:F451)</f>
        <v>2</v>
      </c>
      <c r="J451">
        <f>IF(I451&gt;=2,H451,0)</f>
        <v>31</v>
      </c>
    </row>
    <row r="452" spans="1:10" x14ac:dyDescent="0.3">
      <c r="A452" t="s">
        <v>1013</v>
      </c>
      <c r="B452" t="s">
        <v>406</v>
      </c>
      <c r="C452" t="s">
        <v>407</v>
      </c>
      <c r="D452" t="s">
        <v>73</v>
      </c>
      <c r="G452" t="str" cm="1">
        <f t="array" ref="G452">_xlfn.IFS(
ISNUMBER(SEARCH("hold",C452)),"hold",
ISNUMBER(SEARCH("youth",C452)),"youth",
ISNUMBER(SEARCH("juve",C452)),"youth",
OR(ISNUMBER(SEARCH("health",B452)),ISNUMBER(SEARCH("care ",B452)),ISNUMBER(SEARCH("psych",B452)),ISNUMBER(SEARCH("medical",B452)),ISNUMBER(SEARCH("hospital",B452))),"medical",
ISNUMBER(SEARCH("correct",B452)),"correctional",
ISNUMBER(SEARCH("process",B452)),"processing",
ISNUMBER(SEARCH("detention center",B452)),"detention",
ISNUMBER(SEARCH("detention fac",B452)),"detention",
ISNUMBER(SEARCH("staging",B452)),"staging",
ISNUMBER(SEARCH("prison",B452)),"prison",
ISNUMBER(SEARCH("penet",B452)),"prison",
ISNUMBER(SEARCH("jail",B452)),"jail",
ISNUMBER(SEARCH("detention",B452)),"detention",
ISNUMBER(SEARCH("sheriff",B452)),"sheriff/police",
ISNUMBER(SEARCH("police",B452)),"sheriff/police",
TRUE,""
)</f>
        <v>detention</v>
      </c>
      <c r="H452">
        <f>INDEX(Sheet2!B:B,MATCH(C452,Sheet2!A:A,0),1)</f>
        <v>31</v>
      </c>
      <c r="I452">
        <f>3-COUNTBLANK(D452:F452)</f>
        <v>1</v>
      </c>
      <c r="J452">
        <f>IF(I452&gt;=2,H452,0)</f>
        <v>0</v>
      </c>
    </row>
    <row r="453" spans="1:10" x14ac:dyDescent="0.3">
      <c r="A453" t="s">
        <v>1016</v>
      </c>
      <c r="B453" t="s">
        <v>2557</v>
      </c>
      <c r="C453" t="s">
        <v>1707</v>
      </c>
      <c r="D453" t="s">
        <v>112</v>
      </c>
      <c r="G453" t="str" cm="1">
        <f t="array" ref="G453">_xlfn.IFS(
ISNUMBER(SEARCH("hold",C453)),"hold",
ISNUMBER(SEARCH("youth",C453)),"youth",
ISNUMBER(SEARCH("juve",C453)),"youth",
OR(ISNUMBER(SEARCH("health",B453)),ISNUMBER(SEARCH("care ",B453)),ISNUMBER(SEARCH("psych",B453)),ISNUMBER(SEARCH("medical",B453)),ISNUMBER(SEARCH("hospital",B453))),"medical",
ISNUMBER(SEARCH("correct",B453)),"correctional",
ISNUMBER(SEARCH("process",B453)),"processing",
ISNUMBER(SEARCH("detention center",B453)),"detention",
ISNUMBER(SEARCH("detention fac",B453)),"detention",
ISNUMBER(SEARCH("staging",B453)),"staging",
ISNUMBER(SEARCH("prison",B453)),"prison",
ISNUMBER(SEARCH("penet",B453)),"prison",
ISNUMBER(SEARCH("jail",B453)),"jail",
ISNUMBER(SEARCH("detention",B453)),"detention",
ISNUMBER(SEARCH("sheriff",B453)),"sheriff/police",
ISNUMBER(SEARCH("police",B453)),"sheriff/police",
TRUE,""
)</f>
        <v>medical</v>
      </c>
      <c r="H453">
        <f>INDEX(Sheet2!B:B,MATCH(C453,Sheet2!A:A,0),1)</f>
        <v>30</v>
      </c>
      <c r="I453">
        <f>3-COUNTBLANK(D453:F453)</f>
        <v>1</v>
      </c>
      <c r="J453">
        <f>IF(I453&gt;=2,H453,0)</f>
        <v>0</v>
      </c>
    </row>
    <row r="454" spans="1:10" x14ac:dyDescent="0.3">
      <c r="A454" t="s">
        <v>1019</v>
      </c>
      <c r="B454" t="s">
        <v>85</v>
      </c>
      <c r="C454" t="s">
        <v>86</v>
      </c>
      <c r="D454" t="s">
        <v>87</v>
      </c>
      <c r="F454" t="s">
        <v>2301</v>
      </c>
      <c r="G454" t="str" cm="1">
        <f t="array" ref="G454">_xlfn.IFS(
ISNUMBER(SEARCH("hold",C454)),"hold",
ISNUMBER(SEARCH("youth",C454)),"youth",
ISNUMBER(SEARCH("juve",C454)),"youth",
OR(ISNUMBER(SEARCH("health",B454)),ISNUMBER(SEARCH("care ",B454)),ISNUMBER(SEARCH("psych",B454)),ISNUMBER(SEARCH("medical",B454)),ISNUMBER(SEARCH("hospital",B454))),"medical",
ISNUMBER(SEARCH("correct",B454)),"correctional",
ISNUMBER(SEARCH("process",B454)),"processing",
ISNUMBER(SEARCH("detention center",B454)),"detention",
ISNUMBER(SEARCH("detention fac",B454)),"detention",
ISNUMBER(SEARCH("staging",B454)),"staging",
ISNUMBER(SEARCH("prison",B454)),"prison",
ISNUMBER(SEARCH("penet",B454)),"prison",
ISNUMBER(SEARCH("jail",B454)),"jail",
ISNUMBER(SEARCH("detention",B454)),"detention",
ISNUMBER(SEARCH("sheriff",B454)),"sheriff/police",
ISNUMBER(SEARCH("police",B454)),"sheriff/police",
TRUE,""
)</f>
        <v>jail</v>
      </c>
      <c r="H454">
        <f>INDEX(Sheet2!B:B,MATCH(C454,Sheet2!A:A,0),1)</f>
        <v>30</v>
      </c>
      <c r="I454">
        <f>3-COUNTBLANK(D454:F454)</f>
        <v>2</v>
      </c>
      <c r="J454">
        <f>IF(I454&gt;=2,H454,0)</f>
        <v>30</v>
      </c>
    </row>
    <row r="455" spans="1:10" x14ac:dyDescent="0.3">
      <c r="A455" t="s">
        <v>1019</v>
      </c>
      <c r="B455" t="s">
        <v>1839</v>
      </c>
      <c r="C455" t="s">
        <v>1840</v>
      </c>
      <c r="D455" t="s">
        <v>50</v>
      </c>
      <c r="G455" t="str" cm="1">
        <f t="array" ref="G455">_xlfn.IFS(
ISNUMBER(SEARCH("hold",C455)),"hold",
ISNUMBER(SEARCH("youth",C455)),"youth",
ISNUMBER(SEARCH("juve",C455)),"youth",
OR(ISNUMBER(SEARCH("health",B455)),ISNUMBER(SEARCH("care ",B455)),ISNUMBER(SEARCH("psych",B455)),ISNUMBER(SEARCH("medical",B455)),ISNUMBER(SEARCH("hospital",B455))),"medical",
ISNUMBER(SEARCH("correct",B455)),"correctional",
ISNUMBER(SEARCH("process",B455)),"processing",
ISNUMBER(SEARCH("detention center",B455)),"detention",
ISNUMBER(SEARCH("detention fac",B455)),"detention",
ISNUMBER(SEARCH("staging",B455)),"staging",
ISNUMBER(SEARCH("prison",B455)),"prison",
ISNUMBER(SEARCH("penet",B455)),"prison",
ISNUMBER(SEARCH("jail",B455)),"jail",
ISNUMBER(SEARCH("detention",B455)),"detention",
ISNUMBER(SEARCH("sheriff",B455)),"sheriff/police",
ISNUMBER(SEARCH("police",B455)),"sheriff/police",
TRUE,""
)</f>
        <v>jail</v>
      </c>
      <c r="H455">
        <f>INDEX(Sheet2!B:B,MATCH(C455,Sheet2!A:A,0),1)</f>
        <v>29</v>
      </c>
      <c r="I455">
        <f>3-COUNTBLANK(D455:F455)</f>
        <v>1</v>
      </c>
      <c r="J455">
        <f>IF(I455&gt;=2,H455,0)</f>
        <v>0</v>
      </c>
    </row>
    <row r="456" spans="1:10" x14ac:dyDescent="0.3">
      <c r="A456" t="s">
        <v>1023</v>
      </c>
      <c r="B456" t="s">
        <v>114</v>
      </c>
      <c r="C456" t="s">
        <v>115</v>
      </c>
      <c r="D456" t="s">
        <v>31</v>
      </c>
      <c r="G456" t="str" cm="1">
        <f t="array" ref="G456">_xlfn.IFS(
ISNUMBER(SEARCH("hold",C456)),"hold",
ISNUMBER(SEARCH("youth",C456)),"youth",
ISNUMBER(SEARCH("juve",C456)),"youth",
OR(ISNUMBER(SEARCH("health",B456)),ISNUMBER(SEARCH("care ",B456)),ISNUMBER(SEARCH("psych",B456)),ISNUMBER(SEARCH("medical",B456)),ISNUMBER(SEARCH("hospital",B456))),"medical",
ISNUMBER(SEARCH("correct",B456)),"correctional",
ISNUMBER(SEARCH("process",B456)),"processing",
ISNUMBER(SEARCH("detention center",B456)),"detention",
ISNUMBER(SEARCH("detention fac",B456)),"detention",
ISNUMBER(SEARCH("staging",B456)),"staging",
ISNUMBER(SEARCH("prison",B456)),"prison",
ISNUMBER(SEARCH("penet",B456)),"prison",
ISNUMBER(SEARCH("jail",B456)),"jail",
ISNUMBER(SEARCH("detention",B456)),"detention",
ISNUMBER(SEARCH("sheriff",B456)),"sheriff/police",
ISNUMBER(SEARCH("police",B456)),"sheriff/police",
TRUE,""
)</f>
        <v>medical</v>
      </c>
      <c r="H456">
        <f>INDEX(Sheet2!B:B,MATCH(C456,Sheet2!A:A,0),1)</f>
        <v>28</v>
      </c>
      <c r="I456">
        <f>3-COUNTBLANK(D456:F456)</f>
        <v>1</v>
      </c>
      <c r="J456">
        <f>IF(I456&gt;=2,H456,0)</f>
        <v>0</v>
      </c>
    </row>
    <row r="457" spans="1:10" x14ac:dyDescent="0.3">
      <c r="A457" t="s">
        <v>1026</v>
      </c>
      <c r="B457" t="s">
        <v>1378</v>
      </c>
      <c r="C457" t="s">
        <v>1379</v>
      </c>
      <c r="D457" t="s">
        <v>72</v>
      </c>
      <c r="G457" t="str" cm="1">
        <f t="array" ref="G457">_xlfn.IFS(
ISNUMBER(SEARCH("hold",C457)),"hold",
ISNUMBER(SEARCH("youth",C457)),"youth",
ISNUMBER(SEARCH("juve",C457)),"youth",
OR(ISNUMBER(SEARCH("health",B457)),ISNUMBER(SEARCH("care ",B457)),ISNUMBER(SEARCH("psych",B457)),ISNUMBER(SEARCH("medical",B457)),ISNUMBER(SEARCH("hospital",B457))),"medical",
ISNUMBER(SEARCH("correct",B457)),"correctional",
ISNUMBER(SEARCH("process",B457)),"processing",
ISNUMBER(SEARCH("detention center",B457)),"detention",
ISNUMBER(SEARCH("detention fac",B457)),"detention",
ISNUMBER(SEARCH("staging",B457)),"staging",
ISNUMBER(SEARCH("prison",B457)),"prison",
ISNUMBER(SEARCH("penet",B457)),"prison",
ISNUMBER(SEARCH("jail",B457)),"jail",
ISNUMBER(SEARCH("detention",B457)),"detention",
ISNUMBER(SEARCH("sheriff",B457)),"sheriff/police",
ISNUMBER(SEARCH("police",B457)),"sheriff/police",
TRUE,""
)</f>
        <v>medical</v>
      </c>
      <c r="H457">
        <f>INDEX(Sheet2!B:B,MATCH(C457,Sheet2!A:A,0),1)</f>
        <v>28</v>
      </c>
      <c r="I457">
        <f>3-COUNTBLANK(D457:F457)</f>
        <v>1</v>
      </c>
      <c r="J457">
        <f>IF(I457&gt;=2,H457,0)</f>
        <v>0</v>
      </c>
    </row>
    <row r="458" spans="1:10" x14ac:dyDescent="0.3">
      <c r="A458" t="s">
        <v>1028</v>
      </c>
      <c r="B458" t="s">
        <v>2553</v>
      </c>
      <c r="C458" t="s">
        <v>942</v>
      </c>
      <c r="D458" t="s">
        <v>50</v>
      </c>
      <c r="G458" t="str" cm="1">
        <f t="array" ref="G458">_xlfn.IFS(
ISNUMBER(SEARCH("hold",C458)),"hold",
ISNUMBER(SEARCH("youth",C458)),"youth",
ISNUMBER(SEARCH("juve",C458)),"youth",
OR(ISNUMBER(SEARCH("health",B458)),ISNUMBER(SEARCH("care ",B458)),ISNUMBER(SEARCH("psych",B458)),ISNUMBER(SEARCH("medical",B458)),ISNUMBER(SEARCH("hospital",B458))),"medical",
ISNUMBER(SEARCH("correct",B458)),"correctional",
ISNUMBER(SEARCH("process",B458)),"processing",
ISNUMBER(SEARCH("detention center",B458)),"detention",
ISNUMBER(SEARCH("detention fac",B458)),"detention",
ISNUMBER(SEARCH("staging",B458)),"staging",
ISNUMBER(SEARCH("prison",B458)),"prison",
ISNUMBER(SEARCH("penet",B458)),"prison",
ISNUMBER(SEARCH("jail",B458)),"jail",
ISNUMBER(SEARCH("detention",B458)),"detention",
ISNUMBER(SEARCH("sheriff",B458)),"sheriff/police",
ISNUMBER(SEARCH("police",B458)),"sheriff/police",
TRUE,""
)</f>
        <v>detention</v>
      </c>
      <c r="H458">
        <f>INDEX(Sheet2!B:B,MATCH(C458,Sheet2!A:A,0),1)</f>
        <v>26</v>
      </c>
      <c r="I458">
        <f>3-COUNTBLANK(D458:F458)</f>
        <v>1</v>
      </c>
      <c r="J458">
        <f>IF(I458&gt;=2,H458,0)</f>
        <v>0</v>
      </c>
    </row>
    <row r="459" spans="1:10" x14ac:dyDescent="0.3">
      <c r="A459" t="s">
        <v>1031</v>
      </c>
      <c r="B459" t="s">
        <v>270</v>
      </c>
      <c r="C459" t="s">
        <v>271</v>
      </c>
      <c r="D459" t="s">
        <v>6</v>
      </c>
      <c r="F459" t="s">
        <v>2312</v>
      </c>
      <c r="G459" t="str" cm="1">
        <f t="array" ref="G459">_xlfn.IFS(
ISNUMBER(SEARCH("hold",C459)),"hold",
ISNUMBER(SEARCH("youth",C459)),"youth",
ISNUMBER(SEARCH("juve",C459)),"youth",
OR(ISNUMBER(SEARCH("health",B459)),ISNUMBER(SEARCH("care ",B459)),ISNUMBER(SEARCH("psych",B459)),ISNUMBER(SEARCH("medical",B459)),ISNUMBER(SEARCH("hospital",B459))),"medical",
ISNUMBER(SEARCH("correct",B459)),"correctional",
ISNUMBER(SEARCH("process",B459)),"processing",
ISNUMBER(SEARCH("detention center",B459)),"detention",
ISNUMBER(SEARCH("detention fac",B459)),"detention",
ISNUMBER(SEARCH("staging",B459)),"staging",
ISNUMBER(SEARCH("prison",B459)),"prison",
ISNUMBER(SEARCH("penet",B459)),"prison",
ISNUMBER(SEARCH("jail",B459)),"jail",
ISNUMBER(SEARCH("detention",B459)),"detention",
ISNUMBER(SEARCH("sheriff",B459)),"sheriff/police",
ISNUMBER(SEARCH("police",B459)),"sheriff/police",
TRUE,""
)</f>
        <v>jail</v>
      </c>
      <c r="H459">
        <f>INDEX(Sheet2!B:B,MATCH(C459,Sheet2!A:A,0),1)</f>
        <v>25</v>
      </c>
      <c r="I459">
        <f>3-COUNTBLANK(D459:F459)</f>
        <v>2</v>
      </c>
      <c r="J459">
        <f>IF(I459&gt;=2,H459,0)</f>
        <v>25</v>
      </c>
    </row>
    <row r="460" spans="1:10" x14ac:dyDescent="0.3">
      <c r="A460" t="s">
        <v>1922</v>
      </c>
      <c r="B460" t="s">
        <v>2569</v>
      </c>
      <c r="C460" t="s">
        <v>544</v>
      </c>
      <c r="D460" t="s">
        <v>42</v>
      </c>
      <c r="E460" t="s">
        <v>2448</v>
      </c>
      <c r="G460" t="str" cm="1">
        <f t="array" ref="G460">_xlfn.IFS(
ISNUMBER(SEARCH("hold",C460)),"hold",
ISNUMBER(SEARCH("youth",C460)),"youth",
ISNUMBER(SEARCH("juve",C460)),"youth",
OR(ISNUMBER(SEARCH("health",B460)),ISNUMBER(SEARCH("care ",B460)),ISNUMBER(SEARCH("psych",B460)),ISNUMBER(SEARCH("medical",B460)),ISNUMBER(SEARCH("hospital",B460))),"medical",
ISNUMBER(SEARCH("correct",B460)),"correctional",
ISNUMBER(SEARCH("process",B460)),"processing",
ISNUMBER(SEARCH("detention center",B460)),"detention",
ISNUMBER(SEARCH("detention fac",B460)),"detention",
ISNUMBER(SEARCH("staging",B460)),"staging",
ISNUMBER(SEARCH("prison",B460)),"prison",
ISNUMBER(SEARCH("penet",B460)),"prison",
ISNUMBER(SEARCH("jail",B460)),"jail",
ISNUMBER(SEARCH("detention",B460)),"detention",
ISNUMBER(SEARCH("sheriff",B460)),"sheriff/police",
ISNUMBER(SEARCH("police",B460)),"sheriff/police",
TRUE,""
)</f>
        <v/>
      </c>
      <c r="H460">
        <f>INDEX(Sheet2!B:B,MATCH(C460,Sheet2!A:A,0),1)</f>
        <v>2832</v>
      </c>
      <c r="I460">
        <f>3-COUNTBLANK(D460:F460)</f>
        <v>2</v>
      </c>
      <c r="J460">
        <f>IF(I460&gt;=2,H460,0)</f>
        <v>2832</v>
      </c>
    </row>
    <row r="461" spans="1:10" x14ac:dyDescent="0.3">
      <c r="A461" t="s">
        <v>1035</v>
      </c>
      <c r="B461" t="s">
        <v>1771</v>
      </c>
      <c r="C461" t="s">
        <v>1772</v>
      </c>
      <c r="D461" t="s">
        <v>42</v>
      </c>
      <c r="E461" t="s">
        <v>2405</v>
      </c>
      <c r="G461" t="str" cm="1">
        <f t="array" ref="G461">_xlfn.IFS(
ISNUMBER(SEARCH("hold",C461)),"hold",
ISNUMBER(SEARCH("youth",C461)),"youth",
ISNUMBER(SEARCH("juve",C461)),"youth",
OR(ISNUMBER(SEARCH("health",B461)),ISNUMBER(SEARCH("care ",B461)),ISNUMBER(SEARCH("psych",B461)),ISNUMBER(SEARCH("medical",B461)),ISNUMBER(SEARCH("hospital",B461))),"medical",
ISNUMBER(SEARCH("correct",B461)),"correctional",
ISNUMBER(SEARCH("process",B461)),"processing",
ISNUMBER(SEARCH("detention center",B461)),"detention",
ISNUMBER(SEARCH("detention fac",B461)),"detention",
ISNUMBER(SEARCH("staging",B461)),"staging",
ISNUMBER(SEARCH("prison",B461)),"prison",
ISNUMBER(SEARCH("penet",B461)),"prison",
ISNUMBER(SEARCH("jail",B461)),"jail",
ISNUMBER(SEARCH("detention",B461)),"detention",
ISNUMBER(SEARCH("sheriff",B461)),"sheriff/police",
ISNUMBER(SEARCH("police",B461)),"sheriff/police",
TRUE,""
)</f>
        <v>hold</v>
      </c>
      <c r="H461">
        <f>INDEX(Sheet2!B:B,MATCH(C461,Sheet2!A:A,0),1)</f>
        <v>24</v>
      </c>
      <c r="I461">
        <f>3-COUNTBLANK(D461:F461)</f>
        <v>2</v>
      </c>
      <c r="J461">
        <f>IF(I461&gt;=2,H461,0)</f>
        <v>24</v>
      </c>
    </row>
    <row r="462" spans="1:10" x14ac:dyDescent="0.3">
      <c r="A462" t="s">
        <v>1038</v>
      </c>
      <c r="B462" t="s">
        <v>1289</v>
      </c>
      <c r="C462" t="s">
        <v>1290</v>
      </c>
      <c r="G462" t="str" cm="1">
        <f t="array" ref="G462">_xlfn.IFS(
ISNUMBER(SEARCH("hold",C462)),"hold",
ISNUMBER(SEARCH("youth",C462)),"youth",
ISNUMBER(SEARCH("juve",C462)),"youth",
OR(ISNUMBER(SEARCH("health",B462)),ISNUMBER(SEARCH("care ",B462)),ISNUMBER(SEARCH("psych",B462)),ISNUMBER(SEARCH("medical",B462)),ISNUMBER(SEARCH("hospital",B462))),"medical",
ISNUMBER(SEARCH("correct",B462)),"correctional",
ISNUMBER(SEARCH("process",B462)),"processing",
ISNUMBER(SEARCH("detention center",B462)),"detention",
ISNUMBER(SEARCH("detention fac",B462)),"detention",
ISNUMBER(SEARCH("staging",B462)),"staging",
ISNUMBER(SEARCH("prison",B462)),"prison",
ISNUMBER(SEARCH("penet",B462)),"prison",
ISNUMBER(SEARCH("jail",B462)),"jail",
ISNUMBER(SEARCH("detention",B462)),"detention",
ISNUMBER(SEARCH("sheriff",B462)),"sheriff/police",
ISNUMBER(SEARCH("police",B462)),"sheriff/police",
TRUE,""
)</f>
        <v>hold</v>
      </c>
      <c r="H462">
        <f>INDEX(Sheet2!B:B,MATCH(C462,Sheet2!A:A,0),1)</f>
        <v>24</v>
      </c>
      <c r="I462">
        <f>3-COUNTBLANK(D462:F462)</f>
        <v>0</v>
      </c>
      <c r="J462">
        <f>IF(I462&gt;=2,H462,0)</f>
        <v>0</v>
      </c>
    </row>
    <row r="463" spans="1:10" x14ac:dyDescent="0.3">
      <c r="A463" t="s">
        <v>1911</v>
      </c>
      <c r="B463" t="s">
        <v>1987</v>
      </c>
      <c r="C463" t="s">
        <v>1953</v>
      </c>
      <c r="D463" t="s">
        <v>174</v>
      </c>
      <c r="F463" t="s">
        <v>2394</v>
      </c>
      <c r="G463" t="str" cm="1">
        <f t="array" ref="G463">_xlfn.IFS(
ISNUMBER(SEARCH("hold",C463)),"hold",
ISNUMBER(SEARCH("youth",C463)),"youth",
ISNUMBER(SEARCH("juve",C463)),"youth",
OR(ISNUMBER(SEARCH("health",B463)),ISNUMBER(SEARCH("care ",B463)),ISNUMBER(SEARCH("psych",B463)),ISNUMBER(SEARCH("medical",B463)),ISNUMBER(SEARCH("hospital",B463))),"medical",
ISNUMBER(SEARCH("correct",B463)),"correctional",
ISNUMBER(SEARCH("process",B463)),"processing",
ISNUMBER(SEARCH("detention center",B463)),"detention",
ISNUMBER(SEARCH("detention fac",B463)),"detention",
ISNUMBER(SEARCH("staging",B463)),"staging",
ISNUMBER(SEARCH("prison",B463)),"prison",
ISNUMBER(SEARCH("penet",B463)),"prison",
ISNUMBER(SEARCH("jail",B463)),"jail",
ISNUMBER(SEARCH("detention",B463)),"detention",
ISNUMBER(SEARCH("sheriff",B463)),"sheriff/police",
ISNUMBER(SEARCH("police",B463)),"sheriff/police",
TRUE,""
)</f>
        <v/>
      </c>
      <c r="H463">
        <f>INDEX(Sheet2!B:B,MATCH(C463,Sheet2!A:A,0),1)</f>
        <v>2880</v>
      </c>
      <c r="I463">
        <f>3-COUNTBLANK(D463:F463)</f>
        <v>2</v>
      </c>
      <c r="J463">
        <f>IF(I463&gt;=2,H463,0)</f>
        <v>2880</v>
      </c>
    </row>
    <row r="464" spans="1:10" x14ac:dyDescent="0.3">
      <c r="A464" t="s">
        <v>1044</v>
      </c>
      <c r="B464" t="s">
        <v>463</v>
      </c>
      <c r="C464" t="s">
        <v>464</v>
      </c>
      <c r="D464" t="s">
        <v>72</v>
      </c>
      <c r="G464" t="str" cm="1">
        <f t="array" ref="G464">_xlfn.IFS(
ISNUMBER(SEARCH("hold",C464)),"hold",
ISNUMBER(SEARCH("youth",C464)),"youth",
ISNUMBER(SEARCH("juve",C464)),"youth",
OR(ISNUMBER(SEARCH("health",B464)),ISNUMBER(SEARCH("care ",B464)),ISNUMBER(SEARCH("psych",B464)),ISNUMBER(SEARCH("medical",B464)),ISNUMBER(SEARCH("hospital",B464))),"medical",
ISNUMBER(SEARCH("correct",B464)),"correctional",
ISNUMBER(SEARCH("process",B464)),"processing",
ISNUMBER(SEARCH("detention center",B464)),"detention",
ISNUMBER(SEARCH("detention fac",B464)),"detention",
ISNUMBER(SEARCH("staging",B464)),"staging",
ISNUMBER(SEARCH("prison",B464)),"prison",
ISNUMBER(SEARCH("penet",B464)),"prison",
ISNUMBER(SEARCH("jail",B464)),"jail",
ISNUMBER(SEARCH("detention",B464)),"detention",
ISNUMBER(SEARCH("sheriff",B464)),"sheriff/police",
ISNUMBER(SEARCH("police",B464)),"sheriff/police",
TRUE,""
)</f>
        <v>medical</v>
      </c>
      <c r="H464">
        <f>INDEX(Sheet2!B:B,MATCH(C464,Sheet2!A:A,0),1)</f>
        <v>22</v>
      </c>
      <c r="I464">
        <f>3-COUNTBLANK(D464:F464)</f>
        <v>1</v>
      </c>
      <c r="J464">
        <f>IF(I464&gt;=2,H464,0)</f>
        <v>0</v>
      </c>
    </row>
    <row r="465" spans="1:10" x14ac:dyDescent="0.3">
      <c r="A465" t="s">
        <v>1047</v>
      </c>
      <c r="B465" t="s">
        <v>1998</v>
      </c>
      <c r="C465" t="s">
        <v>1960</v>
      </c>
      <c r="D465" t="s">
        <v>31</v>
      </c>
      <c r="F465" t="s">
        <v>2251</v>
      </c>
      <c r="G465" t="str" cm="1">
        <f t="array" ref="G465">_xlfn.IFS(
ISNUMBER(SEARCH("hold",C465)),"hold",
ISNUMBER(SEARCH("youth",C465)),"youth",
ISNUMBER(SEARCH("juve",C465)),"youth",
OR(ISNUMBER(SEARCH("health",B465)),ISNUMBER(SEARCH("care ",B465)),ISNUMBER(SEARCH("psych",B465)),ISNUMBER(SEARCH("medical",B465)),ISNUMBER(SEARCH("hospital",B465))),"medical",
ISNUMBER(SEARCH("correct",B465)),"correctional",
ISNUMBER(SEARCH("process",B465)),"processing",
ISNUMBER(SEARCH("detention center",B465)),"detention",
ISNUMBER(SEARCH("detention fac",B465)),"detention",
ISNUMBER(SEARCH("staging",B465)),"staging",
ISNUMBER(SEARCH("prison",B465)),"prison",
ISNUMBER(SEARCH("penet",B465)),"prison",
ISNUMBER(SEARCH("jail",B465)),"jail",
ISNUMBER(SEARCH("detention",B465)),"detention",
ISNUMBER(SEARCH("sheriff",B465)),"sheriff/police",
ISNUMBER(SEARCH("police",B465)),"sheriff/police",
TRUE,""
)</f>
        <v>medical</v>
      </c>
      <c r="H465">
        <f>INDEX(Sheet2!B:B,MATCH(C465,Sheet2!A:A,0),1)</f>
        <v>22</v>
      </c>
      <c r="I465">
        <f>3-COUNTBLANK(D465:F465)</f>
        <v>2</v>
      </c>
      <c r="J465">
        <f>IF(I465&gt;=2,H465,0)</f>
        <v>22</v>
      </c>
    </row>
    <row r="466" spans="1:10" x14ac:dyDescent="0.3">
      <c r="A466" t="s">
        <v>1051</v>
      </c>
      <c r="B466" t="s">
        <v>1061</v>
      </c>
      <c r="C466" t="s">
        <v>1063</v>
      </c>
      <c r="D466" t="s">
        <v>6</v>
      </c>
      <c r="F466" t="s">
        <v>2351</v>
      </c>
      <c r="G466" t="str" cm="1">
        <f t="array" ref="G466">_xlfn.IFS(
ISNUMBER(SEARCH("hold",C466)),"hold",
ISNUMBER(SEARCH("youth",C466)),"youth",
ISNUMBER(SEARCH("juve",C466)),"youth",
OR(ISNUMBER(SEARCH("health",B466)),ISNUMBER(SEARCH("care ",B466)),ISNUMBER(SEARCH("psych",B466)),ISNUMBER(SEARCH("medical",B466)),ISNUMBER(SEARCH("hospital",B466))),"medical",
ISNUMBER(SEARCH("correct",B466)),"correctional",
ISNUMBER(SEARCH("process",B466)),"processing",
ISNUMBER(SEARCH("detention center",B466)),"detention",
ISNUMBER(SEARCH("detention fac",B466)),"detention",
ISNUMBER(SEARCH("staging",B466)),"staging",
ISNUMBER(SEARCH("prison",B466)),"prison",
ISNUMBER(SEARCH("penet",B466)),"prison",
ISNUMBER(SEARCH("jail",B466)),"jail",
ISNUMBER(SEARCH("detention",B466)),"detention",
ISNUMBER(SEARCH("sheriff",B466)),"sheriff/police",
ISNUMBER(SEARCH("police",B466)),"sheriff/police",
TRUE,""
)</f>
        <v>jail</v>
      </c>
      <c r="H466">
        <f>INDEX(Sheet2!B:B,MATCH(C466,Sheet2!A:A,0),1)</f>
        <v>22</v>
      </c>
      <c r="I466">
        <f>3-COUNTBLANK(D466:F466)</f>
        <v>2</v>
      </c>
      <c r="J466">
        <f>IF(I466&gt;=2,H466,0)</f>
        <v>22</v>
      </c>
    </row>
    <row r="467" spans="1:10" x14ac:dyDescent="0.3">
      <c r="A467" t="s">
        <v>1054</v>
      </c>
      <c r="B467" t="s">
        <v>368</v>
      </c>
      <c r="C467" t="s">
        <v>369</v>
      </c>
      <c r="D467" t="s">
        <v>59</v>
      </c>
      <c r="G467" t="str" cm="1">
        <f t="array" ref="G467">_xlfn.IFS(
ISNUMBER(SEARCH("hold",C467)),"hold",
ISNUMBER(SEARCH("youth",C467)),"youth",
ISNUMBER(SEARCH("juve",C467)),"youth",
OR(ISNUMBER(SEARCH("health",B467)),ISNUMBER(SEARCH("care ",B467)),ISNUMBER(SEARCH("psych",B467)),ISNUMBER(SEARCH("medical",B467)),ISNUMBER(SEARCH("hospital",B467))),"medical",
ISNUMBER(SEARCH("correct",B467)),"correctional",
ISNUMBER(SEARCH("process",B467)),"processing",
ISNUMBER(SEARCH("detention center",B467)),"detention",
ISNUMBER(SEARCH("detention fac",B467)),"detention",
ISNUMBER(SEARCH("staging",B467)),"staging",
ISNUMBER(SEARCH("prison",B467)),"prison",
ISNUMBER(SEARCH("penet",B467)),"prison",
ISNUMBER(SEARCH("jail",B467)),"jail",
ISNUMBER(SEARCH("detention",B467)),"detention",
ISNUMBER(SEARCH("sheriff",B467)),"sheriff/police",
ISNUMBER(SEARCH("police",B467)),"sheriff/police",
TRUE,""
)</f>
        <v>medical</v>
      </c>
      <c r="H467">
        <f>INDEX(Sheet2!B:B,MATCH(C467,Sheet2!A:A,0),1)</f>
        <v>21</v>
      </c>
      <c r="I467">
        <f>3-COUNTBLANK(D467:F467)</f>
        <v>1</v>
      </c>
      <c r="J467">
        <f>IF(I467&gt;=2,H467,0)</f>
        <v>0</v>
      </c>
    </row>
    <row r="468" spans="1:10" x14ac:dyDescent="0.3">
      <c r="A468" t="s">
        <v>1057</v>
      </c>
      <c r="B468" t="s">
        <v>1917</v>
      </c>
      <c r="C468" t="s">
        <v>1918</v>
      </c>
      <c r="D468" t="s">
        <v>170</v>
      </c>
      <c r="E468" t="s">
        <v>2494</v>
      </c>
      <c r="G468" t="str" cm="1">
        <f t="array" ref="G468">_xlfn.IFS(
ISNUMBER(SEARCH("hold",C468)),"hold",
ISNUMBER(SEARCH("youth",C468)),"youth",
ISNUMBER(SEARCH("juve",C468)),"youth",
OR(ISNUMBER(SEARCH("health",B468)),ISNUMBER(SEARCH("care ",B468)),ISNUMBER(SEARCH("psych",B468)),ISNUMBER(SEARCH("medical",B468)),ISNUMBER(SEARCH("hospital",B468))),"medical",
ISNUMBER(SEARCH("correct",B468)),"correctional",
ISNUMBER(SEARCH("process",B468)),"processing",
ISNUMBER(SEARCH("detention center",B468)),"detention",
ISNUMBER(SEARCH("detention fac",B468)),"detention",
ISNUMBER(SEARCH("staging",B468)),"staging",
ISNUMBER(SEARCH("prison",B468)),"prison",
ISNUMBER(SEARCH("penet",B468)),"prison",
ISNUMBER(SEARCH("jail",B468)),"jail",
ISNUMBER(SEARCH("detention",B468)),"detention",
ISNUMBER(SEARCH("sheriff",B468)),"sheriff/police",
ISNUMBER(SEARCH("police",B468)),"sheriff/police",
TRUE,""
)</f>
        <v>hold</v>
      </c>
      <c r="H468">
        <f>INDEX(Sheet2!B:B,MATCH(C468,Sheet2!A:A,0),1)</f>
        <v>20</v>
      </c>
      <c r="I468">
        <f>3-COUNTBLANK(D468:F468)</f>
        <v>2</v>
      </c>
      <c r="J468">
        <f>IF(I468&gt;=2,H468,0)</f>
        <v>20</v>
      </c>
    </row>
    <row r="469" spans="1:10" x14ac:dyDescent="0.3">
      <c r="A469" t="s">
        <v>2001</v>
      </c>
      <c r="B469" t="s">
        <v>1738</v>
      </c>
      <c r="C469" t="s">
        <v>1739</v>
      </c>
      <c r="D469" t="s">
        <v>82</v>
      </c>
      <c r="E469" t="s">
        <v>2495</v>
      </c>
      <c r="G469" t="str" cm="1">
        <f t="array" ref="G469">_xlfn.IFS(
ISNUMBER(SEARCH("hold",C469)),"hold",
ISNUMBER(SEARCH("youth",C469)),"youth",
ISNUMBER(SEARCH("juve",C469)),"youth",
OR(ISNUMBER(SEARCH("health",B469)),ISNUMBER(SEARCH("care ",B469)),ISNUMBER(SEARCH("psych",B469)),ISNUMBER(SEARCH("medical",B469)),ISNUMBER(SEARCH("hospital",B469))),"medical",
ISNUMBER(SEARCH("correct",B469)),"correctional",
ISNUMBER(SEARCH("process",B469)),"processing",
ISNUMBER(SEARCH("detention center",B469)),"detention",
ISNUMBER(SEARCH("detention fac",B469)),"detention",
ISNUMBER(SEARCH("staging",B469)),"staging",
ISNUMBER(SEARCH("prison",B469)),"prison",
ISNUMBER(SEARCH("penet",B469)),"prison",
ISNUMBER(SEARCH("jail",B469)),"jail",
ISNUMBER(SEARCH("detention",B469)),"detention",
ISNUMBER(SEARCH("sheriff",B469)),"sheriff/police",
ISNUMBER(SEARCH("police",B469)),"sheriff/police",
TRUE,""
)</f>
        <v>hold</v>
      </c>
      <c r="H469">
        <f>INDEX(Sheet2!B:B,MATCH(C469,Sheet2!A:A,0),1)</f>
        <v>19</v>
      </c>
      <c r="I469">
        <f>3-COUNTBLANK(D469:F469)</f>
        <v>2</v>
      </c>
      <c r="J469">
        <f>IF(I469&gt;=2,H469,0)</f>
        <v>19</v>
      </c>
    </row>
    <row r="470" spans="1:10" x14ac:dyDescent="0.3">
      <c r="A470" t="s">
        <v>1060</v>
      </c>
      <c r="B470" t="s">
        <v>340</v>
      </c>
      <c r="C470" t="s">
        <v>341</v>
      </c>
      <c r="D470" t="s">
        <v>91</v>
      </c>
      <c r="F470" t="s">
        <v>2244</v>
      </c>
      <c r="G470" t="str" cm="1">
        <f t="array" ref="G470">_xlfn.IFS(
ISNUMBER(SEARCH("hold",C470)),"hold",
ISNUMBER(SEARCH("youth",C470)),"youth",
ISNUMBER(SEARCH("juve",C470)),"youth",
OR(ISNUMBER(SEARCH("health",B470)),ISNUMBER(SEARCH("care ",B470)),ISNUMBER(SEARCH("psych",B470)),ISNUMBER(SEARCH("medical",B470)),ISNUMBER(SEARCH("hospital",B470))),"medical",
ISNUMBER(SEARCH("correct",B470)),"correctional",
ISNUMBER(SEARCH("process",B470)),"processing",
ISNUMBER(SEARCH("detention center",B470)),"detention",
ISNUMBER(SEARCH("detention fac",B470)),"detention",
ISNUMBER(SEARCH("staging",B470)),"staging",
ISNUMBER(SEARCH("prison",B470)),"prison",
ISNUMBER(SEARCH("penet",B470)),"prison",
ISNUMBER(SEARCH("jail",B470)),"jail",
ISNUMBER(SEARCH("detention",B470)),"detention",
ISNUMBER(SEARCH("sheriff",B470)),"sheriff/police",
ISNUMBER(SEARCH("police",B470)),"sheriff/police",
TRUE,""
)</f>
        <v>processing</v>
      </c>
      <c r="H470">
        <f>INDEX(Sheet2!B:B,MATCH(C470,Sheet2!A:A,0),1)</f>
        <v>19</v>
      </c>
      <c r="I470">
        <f>3-COUNTBLANK(D470:F470)</f>
        <v>2</v>
      </c>
      <c r="J470">
        <f>IF(I470&gt;=2,H470,0)</f>
        <v>19</v>
      </c>
    </row>
    <row r="471" spans="1:10" x14ac:dyDescent="0.3">
      <c r="A471" t="s">
        <v>1060</v>
      </c>
      <c r="B471" t="s">
        <v>1443</v>
      </c>
      <c r="C471" t="s">
        <v>1444</v>
      </c>
      <c r="D471" t="s">
        <v>95</v>
      </c>
      <c r="G471" t="str" cm="1">
        <f t="array" ref="G471">_xlfn.IFS(
ISNUMBER(SEARCH("hold",C471)),"hold",
ISNUMBER(SEARCH("youth",C471)),"youth",
ISNUMBER(SEARCH("juve",C471)),"youth",
OR(ISNUMBER(SEARCH("health",B471)),ISNUMBER(SEARCH("care ",B471)),ISNUMBER(SEARCH("psych",B471)),ISNUMBER(SEARCH("medical",B471)),ISNUMBER(SEARCH("hospital",B471))),"medical",
ISNUMBER(SEARCH("correct",B471)),"correctional",
ISNUMBER(SEARCH("process",B471)),"processing",
ISNUMBER(SEARCH("detention center",B471)),"detention",
ISNUMBER(SEARCH("detention fac",B471)),"detention",
ISNUMBER(SEARCH("staging",B471)),"staging",
ISNUMBER(SEARCH("prison",B471)),"prison",
ISNUMBER(SEARCH("penet",B471)),"prison",
ISNUMBER(SEARCH("jail",B471)),"jail",
ISNUMBER(SEARCH("detention",B471)),"detention",
ISNUMBER(SEARCH("sheriff",B471)),"sheriff/police",
ISNUMBER(SEARCH("police",B471)),"sheriff/police",
TRUE,""
)</f>
        <v>medical</v>
      </c>
      <c r="H471">
        <f>INDEX(Sheet2!B:B,MATCH(C471,Sheet2!A:A,0),1)</f>
        <v>19</v>
      </c>
      <c r="I471">
        <f>3-COUNTBLANK(D471:F471)</f>
        <v>1</v>
      </c>
      <c r="J471">
        <f>IF(I471&gt;=2,H471,0)</f>
        <v>0</v>
      </c>
    </row>
    <row r="472" spans="1:10" x14ac:dyDescent="0.3">
      <c r="A472" t="s">
        <v>1064</v>
      </c>
      <c r="B472" t="s">
        <v>460</v>
      </c>
      <c r="C472" t="s">
        <v>461</v>
      </c>
      <c r="D472" t="s">
        <v>204</v>
      </c>
      <c r="E472" t="s">
        <v>2496</v>
      </c>
      <c r="G472" t="str" cm="1">
        <f t="array" ref="G472">_xlfn.IFS(
ISNUMBER(SEARCH("hold",C472)),"hold",
ISNUMBER(SEARCH("youth",C472)),"youth",
ISNUMBER(SEARCH("juve",C472)),"youth",
OR(ISNUMBER(SEARCH("health",B472)),ISNUMBER(SEARCH("care ",B472)),ISNUMBER(SEARCH("psych",B472)),ISNUMBER(SEARCH("medical",B472)),ISNUMBER(SEARCH("hospital",B472))),"medical",
ISNUMBER(SEARCH("correct",B472)),"correctional",
ISNUMBER(SEARCH("process",B472)),"processing",
ISNUMBER(SEARCH("detention center",B472)),"detention",
ISNUMBER(SEARCH("detention fac",B472)),"detention",
ISNUMBER(SEARCH("staging",B472)),"staging",
ISNUMBER(SEARCH("prison",B472)),"prison",
ISNUMBER(SEARCH("penet",B472)),"prison",
ISNUMBER(SEARCH("jail",B472)),"jail",
ISNUMBER(SEARCH("detention",B472)),"detention",
ISNUMBER(SEARCH("sheriff",B472)),"sheriff/police",
ISNUMBER(SEARCH("police",B472)),"sheriff/police",
TRUE,""
)</f>
        <v>hold</v>
      </c>
      <c r="H472">
        <f>INDEX(Sheet2!B:B,MATCH(C472,Sheet2!A:A,0),1)</f>
        <v>18</v>
      </c>
      <c r="I472">
        <f>3-COUNTBLANK(D472:F472)</f>
        <v>2</v>
      </c>
      <c r="J472">
        <f>IF(I472&gt;=2,H472,0)</f>
        <v>18</v>
      </c>
    </row>
    <row r="473" spans="1:10" x14ac:dyDescent="0.3">
      <c r="A473" t="s">
        <v>1877</v>
      </c>
      <c r="B473" t="s">
        <v>589</v>
      </c>
      <c r="C473" t="s">
        <v>590</v>
      </c>
      <c r="D473" t="s">
        <v>6</v>
      </c>
      <c r="F473" t="s">
        <v>2250</v>
      </c>
      <c r="G473" t="str" cm="1">
        <f t="array" ref="G473">_xlfn.IFS(
ISNUMBER(SEARCH("hold",C473)),"hold",
ISNUMBER(SEARCH("youth",C473)),"youth",
ISNUMBER(SEARCH("juve",C473)),"youth",
OR(ISNUMBER(SEARCH("health",B473)),ISNUMBER(SEARCH("care ",B473)),ISNUMBER(SEARCH("psych",B473)),ISNUMBER(SEARCH("medical",B473)),ISNUMBER(SEARCH("hospital",B473))),"medical",
ISNUMBER(SEARCH("correct",B473)),"correctional",
ISNUMBER(SEARCH("process",B473)),"processing",
ISNUMBER(SEARCH("detention center",B473)),"detention",
ISNUMBER(SEARCH("detention fac",B473)),"detention",
ISNUMBER(SEARCH("staging",B473)),"staging",
ISNUMBER(SEARCH("prison",B473)),"prison",
ISNUMBER(SEARCH("penet",B473)),"prison",
ISNUMBER(SEARCH("jail",B473)),"jail",
ISNUMBER(SEARCH("detention",B473)),"detention",
ISNUMBER(SEARCH("sheriff",B473)),"sheriff/police",
ISNUMBER(SEARCH("police",B473)),"sheriff/police",
TRUE,""
)</f>
        <v/>
      </c>
      <c r="H473">
        <f>INDEX(Sheet2!B:B,MATCH(C473,Sheet2!A:A,0),1)</f>
        <v>3620</v>
      </c>
      <c r="I473">
        <f>3-COUNTBLANK(D473:F473)</f>
        <v>2</v>
      </c>
      <c r="J473">
        <f>IF(I473&gt;=2,H473,0)</f>
        <v>3620</v>
      </c>
    </row>
    <row r="474" spans="1:10" x14ac:dyDescent="0.3">
      <c r="A474" t="s">
        <v>1070</v>
      </c>
      <c r="B474" t="s">
        <v>1853</v>
      </c>
      <c r="C474" t="s">
        <v>1854</v>
      </c>
      <c r="D474" t="s">
        <v>14</v>
      </c>
      <c r="F474" t="s">
        <v>2291</v>
      </c>
      <c r="G474" t="str" cm="1">
        <f t="array" ref="G474">_xlfn.IFS(
ISNUMBER(SEARCH("hold",C474)),"hold",
ISNUMBER(SEARCH("youth",C474)),"youth",
ISNUMBER(SEARCH("juve",C474)),"youth",
OR(ISNUMBER(SEARCH("health",B474)),ISNUMBER(SEARCH("care ",B474)),ISNUMBER(SEARCH("psych",B474)),ISNUMBER(SEARCH("medical",B474)),ISNUMBER(SEARCH("hospital",B474))),"medical",
ISNUMBER(SEARCH("correct",B474)),"correctional",
ISNUMBER(SEARCH("process",B474)),"processing",
ISNUMBER(SEARCH("detention center",B474)),"detention",
ISNUMBER(SEARCH("detention fac",B474)),"detention",
ISNUMBER(SEARCH("staging",B474)),"staging",
ISNUMBER(SEARCH("prison",B474)),"prison",
ISNUMBER(SEARCH("penet",B474)),"prison",
ISNUMBER(SEARCH("jail",B474)),"jail",
ISNUMBER(SEARCH("detention",B474)),"detention",
ISNUMBER(SEARCH("sheriff",B474)),"sheriff/police",
ISNUMBER(SEARCH("police",B474)),"sheriff/police",
TRUE,""
)</f>
        <v>correctional</v>
      </c>
      <c r="H474">
        <f>INDEX(Sheet2!B:B,MATCH(C474,Sheet2!A:A,0),1)</f>
        <v>18</v>
      </c>
      <c r="I474">
        <f>3-COUNTBLANK(D474:F474)</f>
        <v>2</v>
      </c>
      <c r="J474">
        <f>IF(I474&gt;=2,H474,0)</f>
        <v>18</v>
      </c>
    </row>
    <row r="475" spans="1:10" x14ac:dyDescent="0.3">
      <c r="A475" t="s">
        <v>1073</v>
      </c>
      <c r="B475" t="s">
        <v>447</v>
      </c>
      <c r="C475" t="s">
        <v>448</v>
      </c>
      <c r="G475" t="str" cm="1">
        <f t="array" ref="G475">_xlfn.IFS(
ISNUMBER(SEARCH("hold",C475)),"hold",
ISNUMBER(SEARCH("youth",C475)),"youth",
ISNUMBER(SEARCH("juve",C475)),"youth",
OR(ISNUMBER(SEARCH("health",B475)),ISNUMBER(SEARCH("care ",B475)),ISNUMBER(SEARCH("psych",B475)),ISNUMBER(SEARCH("medical",B475)),ISNUMBER(SEARCH("hospital",B475))),"medical",
ISNUMBER(SEARCH("correct",B475)),"correctional",
ISNUMBER(SEARCH("process",B475)),"processing",
ISNUMBER(SEARCH("detention center",B475)),"detention",
ISNUMBER(SEARCH("detention fac",B475)),"detention",
ISNUMBER(SEARCH("staging",B475)),"staging",
ISNUMBER(SEARCH("prison",B475)),"prison",
ISNUMBER(SEARCH("penet",B475)),"prison",
ISNUMBER(SEARCH("jail",B475)),"jail",
ISNUMBER(SEARCH("detention",B475)),"detention",
ISNUMBER(SEARCH("sheriff",B475)),"sheriff/police",
ISNUMBER(SEARCH("police",B475)),"sheriff/police",
TRUE,""
)</f>
        <v>hold</v>
      </c>
      <c r="H475">
        <f>INDEX(Sheet2!B:B,MATCH(C475,Sheet2!A:A,0),1)</f>
        <v>18</v>
      </c>
      <c r="I475">
        <f>3-COUNTBLANK(D475:F475)</f>
        <v>0</v>
      </c>
      <c r="J475">
        <f>IF(I475&gt;=2,H475,0)</f>
        <v>0</v>
      </c>
    </row>
    <row r="476" spans="1:10" x14ac:dyDescent="0.3">
      <c r="A476" t="s">
        <v>1076</v>
      </c>
      <c r="B476" t="s">
        <v>450</v>
      </c>
      <c r="C476" t="s">
        <v>451</v>
      </c>
      <c r="D476" t="s">
        <v>159</v>
      </c>
      <c r="F476" t="s">
        <v>2381</v>
      </c>
      <c r="G476" t="str" cm="1">
        <f t="array" ref="G476">_xlfn.IFS(
ISNUMBER(SEARCH("hold",C476)),"hold",
ISNUMBER(SEARCH("youth",C476)),"youth",
ISNUMBER(SEARCH("juve",C476)),"youth",
OR(ISNUMBER(SEARCH("health",B476)),ISNUMBER(SEARCH("care ",B476)),ISNUMBER(SEARCH("psych",B476)),ISNUMBER(SEARCH("medical",B476)),ISNUMBER(SEARCH("hospital",B476))),"medical",
ISNUMBER(SEARCH("correct",B476)),"correctional",
ISNUMBER(SEARCH("process",B476)),"processing",
ISNUMBER(SEARCH("detention center",B476)),"detention",
ISNUMBER(SEARCH("detention fac",B476)),"detention",
ISNUMBER(SEARCH("staging",B476)),"staging",
ISNUMBER(SEARCH("prison",B476)),"prison",
ISNUMBER(SEARCH("penet",B476)),"prison",
ISNUMBER(SEARCH("jail",B476)),"jail",
ISNUMBER(SEARCH("detention",B476)),"detention",
ISNUMBER(SEARCH("sheriff",B476)),"sheriff/police",
ISNUMBER(SEARCH("police",B476)),"sheriff/police",
TRUE,""
)</f>
        <v>detention</v>
      </c>
      <c r="H476">
        <f>INDEX(Sheet2!B:B,MATCH(C476,Sheet2!A:A,0),1)</f>
        <v>18</v>
      </c>
      <c r="I476">
        <f>3-COUNTBLANK(D476:F476)</f>
        <v>2</v>
      </c>
      <c r="J476">
        <f>IF(I476&gt;=2,H476,0)</f>
        <v>18</v>
      </c>
    </row>
    <row r="477" spans="1:10" x14ac:dyDescent="0.3">
      <c r="A477" t="s">
        <v>1079</v>
      </c>
      <c r="B477" t="s">
        <v>1313</v>
      </c>
      <c r="C477" t="s">
        <v>1314</v>
      </c>
      <c r="G477" t="str" cm="1">
        <f t="array" ref="G477">_xlfn.IFS(
ISNUMBER(SEARCH("hold",C477)),"hold",
ISNUMBER(SEARCH("youth",C477)),"youth",
ISNUMBER(SEARCH("juve",C477)),"youth",
OR(ISNUMBER(SEARCH("health",B477)),ISNUMBER(SEARCH("care ",B477)),ISNUMBER(SEARCH("psych",B477)),ISNUMBER(SEARCH("medical",B477)),ISNUMBER(SEARCH("hospital",B477))),"medical",
ISNUMBER(SEARCH("correct",B477)),"correctional",
ISNUMBER(SEARCH("process",B477)),"processing",
ISNUMBER(SEARCH("detention center",B477)),"detention",
ISNUMBER(SEARCH("detention fac",B477)),"detention",
ISNUMBER(SEARCH("staging",B477)),"staging",
ISNUMBER(SEARCH("prison",B477)),"prison",
ISNUMBER(SEARCH("penet",B477)),"prison",
ISNUMBER(SEARCH("jail",B477)),"jail",
ISNUMBER(SEARCH("detention",B477)),"detention",
ISNUMBER(SEARCH("sheriff",B477)),"sheriff/police",
ISNUMBER(SEARCH("police",B477)),"sheriff/police",
TRUE,""
)</f>
        <v>medical</v>
      </c>
      <c r="H477">
        <f>INDEX(Sheet2!B:B,MATCH(C477,Sheet2!A:A,0),1)</f>
        <v>17</v>
      </c>
      <c r="I477">
        <f>3-COUNTBLANK(D477:F477)</f>
        <v>0</v>
      </c>
      <c r="J477">
        <f>IF(I477&gt;=2,H477,0)</f>
        <v>0</v>
      </c>
    </row>
    <row r="478" spans="1:10" x14ac:dyDescent="0.3">
      <c r="A478" t="s">
        <v>1082</v>
      </c>
      <c r="B478" t="s">
        <v>708</v>
      </c>
      <c r="C478" t="s">
        <v>709</v>
      </c>
      <c r="D478" t="s">
        <v>78</v>
      </c>
      <c r="G478" t="str" cm="1">
        <f t="array" ref="G478">_xlfn.IFS(
ISNUMBER(SEARCH("hold",C478)),"hold",
ISNUMBER(SEARCH("youth",C478)),"youth",
ISNUMBER(SEARCH("juve",C478)),"youth",
OR(ISNUMBER(SEARCH("health",B478)),ISNUMBER(SEARCH("care ",B478)),ISNUMBER(SEARCH("psych",B478)),ISNUMBER(SEARCH("medical",B478)),ISNUMBER(SEARCH("hospital",B478))),"medical",
ISNUMBER(SEARCH("correct",B478)),"correctional",
ISNUMBER(SEARCH("process",B478)),"processing",
ISNUMBER(SEARCH("detention center",B478)),"detention",
ISNUMBER(SEARCH("detention fac",B478)),"detention",
ISNUMBER(SEARCH("staging",B478)),"staging",
ISNUMBER(SEARCH("prison",B478)),"prison",
ISNUMBER(SEARCH("penet",B478)),"prison",
ISNUMBER(SEARCH("jail",B478)),"jail",
ISNUMBER(SEARCH("detention",B478)),"detention",
ISNUMBER(SEARCH("sheriff",B478)),"sheriff/police",
ISNUMBER(SEARCH("police",B478)),"sheriff/police",
TRUE,""
)</f>
        <v>medical</v>
      </c>
      <c r="H478">
        <f>INDEX(Sheet2!B:B,MATCH(C478,Sheet2!A:A,0),1)</f>
        <v>17</v>
      </c>
      <c r="I478">
        <f>3-COUNTBLANK(D478:F478)</f>
        <v>1</v>
      </c>
      <c r="J478">
        <f>IF(I478&gt;=2,H478,0)</f>
        <v>0</v>
      </c>
    </row>
    <row r="479" spans="1:10" x14ac:dyDescent="0.3">
      <c r="A479" t="s">
        <v>657</v>
      </c>
      <c r="B479" t="s">
        <v>2549</v>
      </c>
      <c r="C479" t="s">
        <v>665</v>
      </c>
      <c r="D479" t="s">
        <v>129</v>
      </c>
      <c r="F479" t="s">
        <v>663</v>
      </c>
      <c r="G479" t="str" cm="1">
        <f t="array" ref="G479">_xlfn.IFS(
ISNUMBER(SEARCH("hold",C479)),"hold",
ISNUMBER(SEARCH("youth",C479)),"youth",
ISNUMBER(SEARCH("juve",C479)),"youth",
OR(ISNUMBER(SEARCH("health",B479)),ISNUMBER(SEARCH("care ",B479)),ISNUMBER(SEARCH("psych",B479)),ISNUMBER(SEARCH("medical",B479)),ISNUMBER(SEARCH("hospital",B479))),"medical",
ISNUMBER(SEARCH("correct",B479)),"correctional",
ISNUMBER(SEARCH("process",B479)),"processing",
ISNUMBER(SEARCH("detention center",B479)),"detention",
ISNUMBER(SEARCH("detention fac",B479)),"detention",
ISNUMBER(SEARCH("staging",B479)),"staging",
ISNUMBER(SEARCH("prison",B479)),"prison",
ISNUMBER(SEARCH("penet",B479)),"prison",
ISNUMBER(SEARCH("jail",B479)),"jail",
ISNUMBER(SEARCH("detention",B479)),"detention",
ISNUMBER(SEARCH("sheriff",B479)),"sheriff/police",
ISNUMBER(SEARCH("police",B479)),"sheriff/police",
TRUE,""
)</f>
        <v>sheriff/police</v>
      </c>
      <c r="H479">
        <f>INDEX(Sheet2!B:B,MATCH(C479,Sheet2!A:A,0),1)</f>
        <v>223</v>
      </c>
      <c r="I479">
        <f>3-COUNTBLANK(D479:F479)</f>
        <v>2</v>
      </c>
      <c r="J479">
        <f>IF(I479&gt;=2,H479,0)</f>
        <v>223</v>
      </c>
    </row>
    <row r="480" spans="1:10" x14ac:dyDescent="0.3">
      <c r="A480" t="s">
        <v>1088</v>
      </c>
      <c r="B480" t="s">
        <v>523</v>
      </c>
      <c r="C480" t="s">
        <v>524</v>
      </c>
      <c r="D480" t="s">
        <v>6</v>
      </c>
      <c r="G480" t="str" cm="1">
        <f t="array" ref="G480">_xlfn.IFS(
ISNUMBER(SEARCH("hold",C480)),"hold",
ISNUMBER(SEARCH("youth",C480)),"youth",
ISNUMBER(SEARCH("juve",C480)),"youth",
OR(ISNUMBER(SEARCH("health",B480)),ISNUMBER(SEARCH("care ",B480)),ISNUMBER(SEARCH("psych",B480)),ISNUMBER(SEARCH("medical",B480)),ISNUMBER(SEARCH("hospital",B480))),"medical",
ISNUMBER(SEARCH("correct",B480)),"correctional",
ISNUMBER(SEARCH("process",B480)),"processing",
ISNUMBER(SEARCH("detention center",B480)),"detention",
ISNUMBER(SEARCH("detention fac",B480)),"detention",
ISNUMBER(SEARCH("staging",B480)),"staging",
ISNUMBER(SEARCH("prison",B480)),"prison",
ISNUMBER(SEARCH("penet",B480)),"prison",
ISNUMBER(SEARCH("jail",B480)),"jail",
ISNUMBER(SEARCH("detention",B480)),"detention",
ISNUMBER(SEARCH("sheriff",B480)),"sheriff/police",
ISNUMBER(SEARCH("police",B480)),"sheriff/police",
TRUE,""
)</f>
        <v>medical</v>
      </c>
      <c r="H480">
        <f>INDEX(Sheet2!B:B,MATCH(C480,Sheet2!A:A,0),1)</f>
        <v>16</v>
      </c>
      <c r="I480">
        <f>3-COUNTBLANK(D480:F480)</f>
        <v>1</v>
      </c>
      <c r="J480">
        <f>IF(I480&gt;=2,H480,0)</f>
        <v>0</v>
      </c>
    </row>
    <row r="481" spans="1:10" x14ac:dyDescent="0.3">
      <c r="A481" t="s">
        <v>1090</v>
      </c>
      <c r="B481" t="s">
        <v>80</v>
      </c>
      <c r="C481" t="s">
        <v>81</v>
      </c>
      <c r="D481" t="s">
        <v>82</v>
      </c>
      <c r="F481" t="s">
        <v>2333</v>
      </c>
      <c r="G481" t="str" cm="1">
        <f t="array" ref="G481">_xlfn.IFS(
ISNUMBER(SEARCH("hold",C481)),"hold",
ISNUMBER(SEARCH("youth",C481)),"youth",
ISNUMBER(SEARCH("juve",C481)),"youth",
OR(ISNUMBER(SEARCH("health",B481)),ISNUMBER(SEARCH("care ",B481)),ISNUMBER(SEARCH("psych",B481)),ISNUMBER(SEARCH("medical",B481)),ISNUMBER(SEARCH("hospital",B481))),"medical",
ISNUMBER(SEARCH("correct",B481)),"correctional",
ISNUMBER(SEARCH("process",B481)),"processing",
ISNUMBER(SEARCH("detention center",B481)),"detention",
ISNUMBER(SEARCH("detention fac",B481)),"detention",
ISNUMBER(SEARCH("staging",B481)),"staging",
ISNUMBER(SEARCH("prison",B481)),"prison",
ISNUMBER(SEARCH("penet",B481)),"prison",
ISNUMBER(SEARCH("jail",B481)),"jail",
ISNUMBER(SEARCH("detention",B481)),"detention",
ISNUMBER(SEARCH("sheriff",B481)),"sheriff/police",
ISNUMBER(SEARCH("police",B481)),"sheriff/police",
TRUE,""
)</f>
        <v>detention</v>
      </c>
      <c r="H481">
        <f>INDEX(Sheet2!B:B,MATCH(C481,Sheet2!A:A,0),1)</f>
        <v>16</v>
      </c>
      <c r="I481">
        <f>3-COUNTBLANK(D481:F481)</f>
        <v>2</v>
      </c>
      <c r="J481">
        <f>IF(I481&gt;=2,H481,0)</f>
        <v>16</v>
      </c>
    </row>
    <row r="482" spans="1:10" x14ac:dyDescent="0.3">
      <c r="A482" t="s">
        <v>1093</v>
      </c>
      <c r="B482" t="s">
        <v>168</v>
      </c>
      <c r="C482" t="s">
        <v>169</v>
      </c>
      <c r="D482" t="s">
        <v>31</v>
      </c>
      <c r="G482" t="str" cm="1">
        <f t="array" ref="G482">_xlfn.IFS(
ISNUMBER(SEARCH("hold",C482)),"hold",
ISNUMBER(SEARCH("youth",C482)),"youth",
ISNUMBER(SEARCH("juve",C482)),"youth",
OR(ISNUMBER(SEARCH("health",B482)),ISNUMBER(SEARCH("care ",B482)),ISNUMBER(SEARCH("psych",B482)),ISNUMBER(SEARCH("medical",B482)),ISNUMBER(SEARCH("hospital",B482))),"medical",
ISNUMBER(SEARCH("correct",B482)),"correctional",
ISNUMBER(SEARCH("process",B482)),"processing",
ISNUMBER(SEARCH("detention center",B482)),"detention",
ISNUMBER(SEARCH("detention fac",B482)),"detention",
ISNUMBER(SEARCH("staging",B482)),"staging",
ISNUMBER(SEARCH("prison",B482)),"prison",
ISNUMBER(SEARCH("penet",B482)),"prison",
ISNUMBER(SEARCH("jail",B482)),"jail",
ISNUMBER(SEARCH("detention",B482)),"detention",
ISNUMBER(SEARCH("sheriff",B482)),"sheriff/police",
ISNUMBER(SEARCH("police",B482)),"sheriff/police",
TRUE,""
)</f>
        <v>medical</v>
      </c>
      <c r="H482">
        <f>INDEX(Sheet2!B:B,MATCH(C482,Sheet2!A:A,0),1)</f>
        <v>15</v>
      </c>
      <c r="I482">
        <f>3-COUNTBLANK(D482:F482)</f>
        <v>1</v>
      </c>
      <c r="J482">
        <f>IF(I482&gt;=2,H482,0)</f>
        <v>0</v>
      </c>
    </row>
    <row r="483" spans="1:10" x14ac:dyDescent="0.3">
      <c r="A483" t="s">
        <v>1402</v>
      </c>
      <c r="B483" t="s">
        <v>670</v>
      </c>
      <c r="C483" t="s">
        <v>671</v>
      </c>
      <c r="D483" t="s">
        <v>35</v>
      </c>
      <c r="G483" t="str" cm="1">
        <f t="array" ref="G483">_xlfn.IFS(
ISNUMBER(SEARCH("hold",C483)),"hold",
ISNUMBER(SEARCH("youth",C483)),"youth",
ISNUMBER(SEARCH("juve",C483)),"youth",
OR(ISNUMBER(SEARCH("health",B483)),ISNUMBER(SEARCH("care ",B483)),ISNUMBER(SEARCH("psych",B483)),ISNUMBER(SEARCH("medical",B483)),ISNUMBER(SEARCH("hospital",B483))),"medical",
ISNUMBER(SEARCH("correct",B483)),"correctional",
ISNUMBER(SEARCH("process",B483)),"processing",
ISNUMBER(SEARCH("detention center",B483)),"detention",
ISNUMBER(SEARCH("detention fac",B483)),"detention",
ISNUMBER(SEARCH("staging",B483)),"staging",
ISNUMBER(SEARCH("prison",B483)),"prison",
ISNUMBER(SEARCH("penet",B483)),"prison",
ISNUMBER(SEARCH("jail",B483)),"jail",
ISNUMBER(SEARCH("detention",B483)),"detention",
ISNUMBER(SEARCH("sheriff",B483)),"sheriff/police",
ISNUMBER(SEARCH("police",B483)),"sheriff/police",
TRUE,""
)</f>
        <v>medical</v>
      </c>
      <c r="H483">
        <f>INDEX(Sheet2!B:B,MATCH(C483,Sheet2!A:A,0),1)</f>
        <v>2</v>
      </c>
      <c r="I483">
        <f>3-COUNTBLANK(D483:F483)</f>
        <v>1</v>
      </c>
      <c r="J483">
        <f>IF(I483&gt;=2,H483,0)</f>
        <v>0</v>
      </c>
    </row>
    <row r="484" spans="1:10" x14ac:dyDescent="0.3">
      <c r="A484" t="s">
        <v>1098</v>
      </c>
      <c r="B484" t="s">
        <v>784</v>
      </c>
      <c r="C484" t="s">
        <v>785</v>
      </c>
      <c r="D484" t="s">
        <v>72</v>
      </c>
      <c r="G484" t="str" cm="1">
        <f t="array" ref="G484">_xlfn.IFS(
ISNUMBER(SEARCH("hold",C484)),"hold",
ISNUMBER(SEARCH("youth",C484)),"youth",
ISNUMBER(SEARCH("juve",C484)),"youth",
OR(ISNUMBER(SEARCH("health",B484)),ISNUMBER(SEARCH("care ",B484)),ISNUMBER(SEARCH("psych",B484)),ISNUMBER(SEARCH("medical",B484)),ISNUMBER(SEARCH("hospital",B484))),"medical",
ISNUMBER(SEARCH("correct",B484)),"correctional",
ISNUMBER(SEARCH("process",B484)),"processing",
ISNUMBER(SEARCH("detention center",B484)),"detention",
ISNUMBER(SEARCH("detention fac",B484)),"detention",
ISNUMBER(SEARCH("staging",B484)),"staging",
ISNUMBER(SEARCH("prison",B484)),"prison",
ISNUMBER(SEARCH("penet",B484)),"prison",
ISNUMBER(SEARCH("jail",B484)),"jail",
ISNUMBER(SEARCH("detention",B484)),"detention",
ISNUMBER(SEARCH("sheriff",B484)),"sheriff/police",
ISNUMBER(SEARCH("police",B484)),"sheriff/police",
TRUE,""
)</f>
        <v>medical</v>
      </c>
      <c r="H484">
        <f>INDEX(Sheet2!B:B,MATCH(C484,Sheet2!A:A,0),1)</f>
        <v>15</v>
      </c>
      <c r="I484">
        <f>3-COUNTBLANK(D484:F484)</f>
        <v>1</v>
      </c>
      <c r="J484">
        <f>IF(I484&gt;=2,H484,0)</f>
        <v>0</v>
      </c>
    </row>
    <row r="485" spans="1:10" x14ac:dyDescent="0.3">
      <c r="A485" t="s">
        <v>1102</v>
      </c>
      <c r="B485" t="s">
        <v>1280</v>
      </c>
      <c r="C485" t="s">
        <v>1281</v>
      </c>
      <c r="D485" t="s">
        <v>88</v>
      </c>
      <c r="F485" t="s">
        <v>2369</v>
      </c>
      <c r="G485" t="str" cm="1">
        <f t="array" ref="G485">_xlfn.IFS(
ISNUMBER(SEARCH("hold",C485)),"hold",
ISNUMBER(SEARCH("youth",C485)),"youth",
ISNUMBER(SEARCH("juve",C485)),"youth",
OR(ISNUMBER(SEARCH("health",B485)),ISNUMBER(SEARCH("care ",B485)),ISNUMBER(SEARCH("psych",B485)),ISNUMBER(SEARCH("medical",B485)),ISNUMBER(SEARCH("hospital",B485))),"medical",
ISNUMBER(SEARCH("correct",B485)),"correctional",
ISNUMBER(SEARCH("process",B485)),"processing",
ISNUMBER(SEARCH("detention center",B485)),"detention",
ISNUMBER(SEARCH("detention fac",B485)),"detention",
ISNUMBER(SEARCH("staging",B485)),"staging",
ISNUMBER(SEARCH("prison",B485)),"prison",
ISNUMBER(SEARCH("penet",B485)),"prison",
ISNUMBER(SEARCH("jail",B485)),"jail",
ISNUMBER(SEARCH("detention",B485)),"detention",
ISNUMBER(SEARCH("sheriff",B485)),"sheriff/police",
ISNUMBER(SEARCH("police",B485)),"sheriff/police",
TRUE,""
)</f>
        <v>jail</v>
      </c>
      <c r="H485">
        <f>INDEX(Sheet2!B:B,MATCH(C485,Sheet2!A:A,0),1)</f>
        <v>15</v>
      </c>
      <c r="I485">
        <f>3-COUNTBLANK(D485:F485)</f>
        <v>2</v>
      </c>
      <c r="J485">
        <f>IF(I485&gt;=2,H485,0)</f>
        <v>15</v>
      </c>
    </row>
    <row r="486" spans="1:10" x14ac:dyDescent="0.3">
      <c r="A486" t="s">
        <v>1105</v>
      </c>
      <c r="B486" t="s">
        <v>481</v>
      </c>
      <c r="C486" t="s">
        <v>482</v>
      </c>
      <c r="G486" t="str" cm="1">
        <f t="array" ref="G486">_xlfn.IFS(
ISNUMBER(SEARCH("hold",C486)),"hold",
ISNUMBER(SEARCH("youth",C486)),"youth",
ISNUMBER(SEARCH("juve",C486)),"youth",
OR(ISNUMBER(SEARCH("health",B486)),ISNUMBER(SEARCH("care ",B486)),ISNUMBER(SEARCH("psych",B486)),ISNUMBER(SEARCH("medical",B486)),ISNUMBER(SEARCH("hospital",B486))),"medical",
ISNUMBER(SEARCH("correct",B486)),"correctional",
ISNUMBER(SEARCH("process",B486)),"processing",
ISNUMBER(SEARCH("detention center",B486)),"detention",
ISNUMBER(SEARCH("detention fac",B486)),"detention",
ISNUMBER(SEARCH("staging",B486)),"staging",
ISNUMBER(SEARCH("prison",B486)),"prison",
ISNUMBER(SEARCH("penet",B486)),"prison",
ISNUMBER(SEARCH("jail",B486)),"jail",
ISNUMBER(SEARCH("detention",B486)),"detention",
ISNUMBER(SEARCH("sheriff",B486)),"sheriff/police",
ISNUMBER(SEARCH("police",B486)),"sheriff/police",
TRUE,""
)</f>
        <v>correctional</v>
      </c>
      <c r="H486">
        <f>INDEX(Sheet2!B:B,MATCH(C486,Sheet2!A:A,0),1)</f>
        <v>14</v>
      </c>
      <c r="I486">
        <f>3-COUNTBLANK(D486:F486)</f>
        <v>0</v>
      </c>
      <c r="J486">
        <f>IF(I486&gt;=2,H486,0)</f>
        <v>0</v>
      </c>
    </row>
    <row r="487" spans="1:10" x14ac:dyDescent="0.3">
      <c r="A487" t="s">
        <v>1108</v>
      </c>
      <c r="B487" t="s">
        <v>1688</v>
      </c>
      <c r="C487" t="s">
        <v>1689</v>
      </c>
      <c r="D487" t="s">
        <v>72</v>
      </c>
      <c r="G487" t="str" cm="1">
        <f t="array" ref="G487">_xlfn.IFS(
ISNUMBER(SEARCH("hold",C487)),"hold",
ISNUMBER(SEARCH("youth",C487)),"youth",
ISNUMBER(SEARCH("juve",C487)),"youth",
OR(ISNUMBER(SEARCH("health",B487)),ISNUMBER(SEARCH("care ",B487)),ISNUMBER(SEARCH("psych",B487)),ISNUMBER(SEARCH("medical",B487)),ISNUMBER(SEARCH("hospital",B487))),"medical",
ISNUMBER(SEARCH("correct",B487)),"correctional",
ISNUMBER(SEARCH("process",B487)),"processing",
ISNUMBER(SEARCH("detention center",B487)),"detention",
ISNUMBER(SEARCH("detention fac",B487)),"detention",
ISNUMBER(SEARCH("staging",B487)),"staging",
ISNUMBER(SEARCH("prison",B487)),"prison",
ISNUMBER(SEARCH("penet",B487)),"prison",
ISNUMBER(SEARCH("jail",B487)),"jail",
ISNUMBER(SEARCH("detention",B487)),"detention",
ISNUMBER(SEARCH("sheriff",B487)),"sheriff/police",
ISNUMBER(SEARCH("police",B487)),"sheriff/police",
TRUE,""
)</f>
        <v>medical</v>
      </c>
      <c r="H487">
        <f>INDEX(Sheet2!B:B,MATCH(C487,Sheet2!A:A,0),1)</f>
        <v>14</v>
      </c>
      <c r="I487">
        <f>3-COUNTBLANK(D487:F487)</f>
        <v>1</v>
      </c>
      <c r="J487">
        <f>IF(I487&gt;=2,H487,0)</f>
        <v>0</v>
      </c>
    </row>
    <row r="488" spans="1:10" x14ac:dyDescent="0.3">
      <c r="A488" t="s">
        <v>1111</v>
      </c>
      <c r="B488" t="s">
        <v>1735</v>
      </c>
      <c r="C488" t="s">
        <v>1736</v>
      </c>
      <c r="G488" t="str" cm="1">
        <f t="array" ref="G488">_xlfn.IFS(
ISNUMBER(SEARCH("hold",C488)),"hold",
ISNUMBER(SEARCH("youth",C488)),"youth",
ISNUMBER(SEARCH("juve",C488)),"youth",
OR(ISNUMBER(SEARCH("health",B488)),ISNUMBER(SEARCH("care ",B488)),ISNUMBER(SEARCH("psych",B488)),ISNUMBER(SEARCH("medical",B488)),ISNUMBER(SEARCH("hospital",B488))),"medical",
ISNUMBER(SEARCH("correct",B488)),"correctional",
ISNUMBER(SEARCH("process",B488)),"processing",
ISNUMBER(SEARCH("detention center",B488)),"detention",
ISNUMBER(SEARCH("detention fac",B488)),"detention",
ISNUMBER(SEARCH("staging",B488)),"staging",
ISNUMBER(SEARCH("prison",B488)),"prison",
ISNUMBER(SEARCH("penet",B488)),"prison",
ISNUMBER(SEARCH("jail",B488)),"jail",
ISNUMBER(SEARCH("detention",B488)),"detention",
ISNUMBER(SEARCH("sheriff",B488)),"sheriff/police",
ISNUMBER(SEARCH("police",B488)),"sheriff/police",
TRUE,""
)</f>
        <v>processing</v>
      </c>
      <c r="H488">
        <f>INDEX(Sheet2!B:B,MATCH(C488,Sheet2!A:A,0),1)</f>
        <v>14</v>
      </c>
      <c r="I488">
        <f>3-COUNTBLANK(D488:F488)</f>
        <v>0</v>
      </c>
      <c r="J488">
        <f>IF(I488&gt;=2,H488,0)</f>
        <v>0</v>
      </c>
    </row>
    <row r="489" spans="1:10" x14ac:dyDescent="0.3">
      <c r="A489" t="s">
        <v>1033</v>
      </c>
      <c r="B489" t="s">
        <v>699</v>
      </c>
      <c r="C489" t="s">
        <v>700</v>
      </c>
      <c r="D489" t="s">
        <v>50</v>
      </c>
      <c r="F489" t="s">
        <v>2325</v>
      </c>
      <c r="G489" t="str" cm="1">
        <f t="array" ref="G489">_xlfn.IFS(
ISNUMBER(SEARCH("hold",C489)),"hold",
ISNUMBER(SEARCH("youth",C489)),"youth",
ISNUMBER(SEARCH("juve",C489)),"youth",
OR(ISNUMBER(SEARCH("health",B489)),ISNUMBER(SEARCH("care ",B489)),ISNUMBER(SEARCH("psych",B489)),ISNUMBER(SEARCH("medical",B489)),ISNUMBER(SEARCH("hospital",B489))),"medical",
ISNUMBER(SEARCH("correct",B489)),"correctional",
ISNUMBER(SEARCH("process",B489)),"processing",
ISNUMBER(SEARCH("detention center",B489)),"detention",
ISNUMBER(SEARCH("detention fac",B489)),"detention",
ISNUMBER(SEARCH("staging",B489)),"staging",
ISNUMBER(SEARCH("prison",B489)),"prison",
ISNUMBER(SEARCH("penet",B489)),"prison",
ISNUMBER(SEARCH("jail",B489)),"jail",
ISNUMBER(SEARCH("detention",B489)),"detention",
ISNUMBER(SEARCH("sheriff",B489)),"sheriff/police",
ISNUMBER(SEARCH("police",B489)),"sheriff/police",
TRUE,""
)</f>
        <v/>
      </c>
      <c r="H489">
        <f>INDEX(Sheet2!B:B,MATCH(C489,Sheet2!A:A,0),1)</f>
        <v>25</v>
      </c>
      <c r="I489">
        <f>3-COUNTBLANK(D489:F489)</f>
        <v>2</v>
      </c>
      <c r="J489">
        <f>IF(I489&gt;=2,H489,0)</f>
        <v>25</v>
      </c>
    </row>
    <row r="490" spans="1:10" x14ac:dyDescent="0.3">
      <c r="A490" t="s">
        <v>1117</v>
      </c>
      <c r="B490" t="s">
        <v>1647</v>
      </c>
      <c r="C490" t="s">
        <v>1648</v>
      </c>
      <c r="G490" t="str" cm="1">
        <f t="array" ref="G490">_xlfn.IFS(
ISNUMBER(SEARCH("hold",C490)),"hold",
ISNUMBER(SEARCH("youth",C490)),"youth",
ISNUMBER(SEARCH("juve",C490)),"youth",
OR(ISNUMBER(SEARCH("health",B490)),ISNUMBER(SEARCH("care ",B490)),ISNUMBER(SEARCH("psych",B490)),ISNUMBER(SEARCH("medical",B490)),ISNUMBER(SEARCH("hospital",B490))),"medical",
ISNUMBER(SEARCH("correct",B490)),"correctional",
ISNUMBER(SEARCH("process",B490)),"processing",
ISNUMBER(SEARCH("detention center",B490)),"detention",
ISNUMBER(SEARCH("detention fac",B490)),"detention",
ISNUMBER(SEARCH("staging",B490)),"staging",
ISNUMBER(SEARCH("prison",B490)),"prison",
ISNUMBER(SEARCH("penet",B490)),"prison",
ISNUMBER(SEARCH("jail",B490)),"jail",
ISNUMBER(SEARCH("detention",B490)),"detention",
ISNUMBER(SEARCH("sheriff",B490)),"sheriff/police",
ISNUMBER(SEARCH("police",B490)),"sheriff/police",
TRUE,""
)</f>
        <v>prison</v>
      </c>
      <c r="H490">
        <f>INDEX(Sheet2!B:B,MATCH(C490,Sheet2!A:A,0),1)</f>
        <v>13</v>
      </c>
      <c r="I490">
        <f>3-COUNTBLANK(D490:F490)</f>
        <v>0</v>
      </c>
      <c r="J490">
        <f>IF(I490&gt;=2,H490,0)</f>
        <v>0</v>
      </c>
    </row>
    <row r="491" spans="1:10" x14ac:dyDescent="0.3">
      <c r="A491" t="s">
        <v>1120</v>
      </c>
      <c r="B491" t="s">
        <v>1189</v>
      </c>
      <c r="C491" t="s">
        <v>1190</v>
      </c>
      <c r="G491" t="str" cm="1">
        <f t="array" ref="G491">_xlfn.IFS(
ISNUMBER(SEARCH("hold",C491)),"hold",
ISNUMBER(SEARCH("youth",C491)),"youth",
ISNUMBER(SEARCH("juve",C491)),"youth",
OR(ISNUMBER(SEARCH("health",B491)),ISNUMBER(SEARCH("care ",B491)),ISNUMBER(SEARCH("psych",B491)),ISNUMBER(SEARCH("medical",B491)),ISNUMBER(SEARCH("hospital",B491))),"medical",
ISNUMBER(SEARCH("correct",B491)),"correctional",
ISNUMBER(SEARCH("process",B491)),"processing",
ISNUMBER(SEARCH("detention center",B491)),"detention",
ISNUMBER(SEARCH("detention fac",B491)),"detention",
ISNUMBER(SEARCH("staging",B491)),"staging",
ISNUMBER(SEARCH("prison",B491)),"prison",
ISNUMBER(SEARCH("penet",B491)),"prison",
ISNUMBER(SEARCH("jail",B491)),"jail",
ISNUMBER(SEARCH("detention",B491)),"detention",
ISNUMBER(SEARCH("sheriff",B491)),"sheriff/police",
ISNUMBER(SEARCH("police",B491)),"sheriff/police",
TRUE,""
)</f>
        <v>hold</v>
      </c>
      <c r="H491">
        <f>INDEX(Sheet2!B:B,MATCH(C491,Sheet2!A:A,0),1)</f>
        <v>13</v>
      </c>
      <c r="I491">
        <f>3-COUNTBLANK(D491:F491)</f>
        <v>0</v>
      </c>
      <c r="J491">
        <f>IF(I491&gt;=2,H491,0)</f>
        <v>0</v>
      </c>
    </row>
    <row r="492" spans="1:10" x14ac:dyDescent="0.3">
      <c r="A492" t="s">
        <v>1122</v>
      </c>
      <c r="B492" t="s">
        <v>1691</v>
      </c>
      <c r="C492" t="s">
        <v>1692</v>
      </c>
      <c r="D492" t="s">
        <v>42</v>
      </c>
      <c r="E492" t="s">
        <v>2497</v>
      </c>
      <c r="G492" t="str" cm="1">
        <f t="array" ref="G492">_xlfn.IFS(
ISNUMBER(SEARCH("hold",C492)),"hold",
ISNUMBER(SEARCH("youth",C492)),"youth",
ISNUMBER(SEARCH("juve",C492)),"youth",
OR(ISNUMBER(SEARCH("health",B492)),ISNUMBER(SEARCH("care ",B492)),ISNUMBER(SEARCH("psych",B492)),ISNUMBER(SEARCH("medical",B492)),ISNUMBER(SEARCH("hospital",B492))),"medical",
ISNUMBER(SEARCH("correct",B492)),"correctional",
ISNUMBER(SEARCH("process",B492)),"processing",
ISNUMBER(SEARCH("detention center",B492)),"detention",
ISNUMBER(SEARCH("detention fac",B492)),"detention",
ISNUMBER(SEARCH("staging",B492)),"staging",
ISNUMBER(SEARCH("prison",B492)),"prison",
ISNUMBER(SEARCH("penet",B492)),"prison",
ISNUMBER(SEARCH("jail",B492)),"jail",
ISNUMBER(SEARCH("detention",B492)),"detention",
ISNUMBER(SEARCH("sheriff",B492)),"sheriff/police",
ISNUMBER(SEARCH("police",B492)),"sheriff/police",
TRUE,""
)</f>
        <v>hold</v>
      </c>
      <c r="H492">
        <f>INDEX(Sheet2!B:B,MATCH(C492,Sheet2!A:A,0),1)</f>
        <v>12</v>
      </c>
      <c r="I492">
        <f>3-COUNTBLANK(D492:F492)</f>
        <v>2</v>
      </c>
      <c r="J492">
        <f>IF(I492&gt;=2,H492,0)</f>
        <v>12</v>
      </c>
    </row>
    <row r="493" spans="1:10" x14ac:dyDescent="0.3">
      <c r="A493" t="s">
        <v>1125</v>
      </c>
      <c r="B493" t="s">
        <v>2529</v>
      </c>
      <c r="C493" t="s">
        <v>1851</v>
      </c>
      <c r="D493" t="s">
        <v>23</v>
      </c>
      <c r="G493" t="str" cm="1">
        <f t="array" ref="G493">_xlfn.IFS(
ISNUMBER(SEARCH("hold",C493)),"hold",
ISNUMBER(SEARCH("youth",C493)),"youth",
ISNUMBER(SEARCH("juve",C493)),"youth",
OR(ISNUMBER(SEARCH("health",B493)),ISNUMBER(SEARCH("care ",B493)),ISNUMBER(SEARCH("psych",B493)),ISNUMBER(SEARCH("medical",B493)),ISNUMBER(SEARCH("hospital",B493))),"medical",
ISNUMBER(SEARCH("correct",B493)),"correctional",
ISNUMBER(SEARCH("process",B493)),"processing",
ISNUMBER(SEARCH("detention center",B493)),"detention",
ISNUMBER(SEARCH("detention fac",B493)),"detention",
ISNUMBER(SEARCH("staging",B493)),"staging",
ISNUMBER(SEARCH("prison",B493)),"prison",
ISNUMBER(SEARCH("penet",B493)),"prison",
ISNUMBER(SEARCH("jail",B493)),"jail",
ISNUMBER(SEARCH("detention",B493)),"detention",
ISNUMBER(SEARCH("sheriff",B493)),"sheriff/police",
ISNUMBER(SEARCH("police",B493)),"sheriff/police",
TRUE,""
)</f>
        <v>medical</v>
      </c>
      <c r="H493">
        <f>INDEX(Sheet2!B:B,MATCH(C493,Sheet2!A:A,0),1)</f>
        <v>12</v>
      </c>
      <c r="I493">
        <f>3-COUNTBLANK(D493:F493)</f>
        <v>1</v>
      </c>
      <c r="J493">
        <f>IF(I493&gt;=2,H493,0)</f>
        <v>0</v>
      </c>
    </row>
    <row r="494" spans="1:10" x14ac:dyDescent="0.3">
      <c r="A494" t="s">
        <v>1128</v>
      </c>
      <c r="B494" t="s">
        <v>1147</v>
      </c>
      <c r="C494" t="s">
        <v>1148</v>
      </c>
      <c r="D494" t="s">
        <v>72</v>
      </c>
      <c r="G494" t="str" cm="1">
        <f t="array" ref="G494">_xlfn.IFS(
ISNUMBER(SEARCH("hold",C494)),"hold",
ISNUMBER(SEARCH("youth",C494)),"youth",
ISNUMBER(SEARCH("juve",C494)),"youth",
OR(ISNUMBER(SEARCH("health",B494)),ISNUMBER(SEARCH("care ",B494)),ISNUMBER(SEARCH("psych",B494)),ISNUMBER(SEARCH("medical",B494)),ISNUMBER(SEARCH("hospital",B494))),"medical",
ISNUMBER(SEARCH("correct",B494)),"correctional",
ISNUMBER(SEARCH("process",B494)),"processing",
ISNUMBER(SEARCH("detention center",B494)),"detention",
ISNUMBER(SEARCH("detention fac",B494)),"detention",
ISNUMBER(SEARCH("staging",B494)),"staging",
ISNUMBER(SEARCH("prison",B494)),"prison",
ISNUMBER(SEARCH("penet",B494)),"prison",
ISNUMBER(SEARCH("jail",B494)),"jail",
ISNUMBER(SEARCH("detention",B494)),"detention",
ISNUMBER(SEARCH("sheriff",B494)),"sheriff/police",
ISNUMBER(SEARCH("police",B494)),"sheriff/police",
TRUE,""
)</f>
        <v>medical</v>
      </c>
      <c r="H494">
        <f>INDEX(Sheet2!B:B,MATCH(C494,Sheet2!A:A,0),1)</f>
        <v>12</v>
      </c>
      <c r="I494">
        <f>3-COUNTBLANK(D494:F494)</f>
        <v>1</v>
      </c>
      <c r="J494">
        <f>IF(I494&gt;=2,H494,0)</f>
        <v>0</v>
      </c>
    </row>
    <row r="495" spans="1:10" x14ac:dyDescent="0.3">
      <c r="A495" t="s">
        <v>1131</v>
      </c>
      <c r="B495" t="s">
        <v>401</v>
      </c>
      <c r="C495" t="s">
        <v>402</v>
      </c>
      <c r="D495" t="s">
        <v>64</v>
      </c>
      <c r="E495" t="s">
        <v>63</v>
      </c>
      <c r="G495" t="str" cm="1">
        <f t="array" ref="G495">_xlfn.IFS(
ISNUMBER(SEARCH("hold",C495)),"hold",
ISNUMBER(SEARCH("youth",C495)),"youth",
ISNUMBER(SEARCH("juve",C495)),"youth",
OR(ISNUMBER(SEARCH("health",B495)),ISNUMBER(SEARCH("care ",B495)),ISNUMBER(SEARCH("psych",B495)),ISNUMBER(SEARCH("medical",B495)),ISNUMBER(SEARCH("hospital",B495))),"medical",
ISNUMBER(SEARCH("correct",B495)),"correctional",
ISNUMBER(SEARCH("process",B495)),"processing",
ISNUMBER(SEARCH("detention center",B495)),"detention",
ISNUMBER(SEARCH("detention fac",B495)),"detention",
ISNUMBER(SEARCH("staging",B495)),"staging",
ISNUMBER(SEARCH("prison",B495)),"prison",
ISNUMBER(SEARCH("penet",B495)),"prison",
ISNUMBER(SEARCH("jail",B495)),"jail",
ISNUMBER(SEARCH("detention",B495)),"detention",
ISNUMBER(SEARCH("sheriff",B495)),"sheriff/police",
ISNUMBER(SEARCH("police",B495)),"sheriff/police",
TRUE,""
)</f>
        <v>hold</v>
      </c>
      <c r="H495">
        <f>INDEX(Sheet2!B:B,MATCH(C495,Sheet2!A:A,0),1)</f>
        <v>11</v>
      </c>
      <c r="I495">
        <f>3-COUNTBLANK(D495:F495)</f>
        <v>2</v>
      </c>
      <c r="J495">
        <f>IF(I495&gt;=2,H495,0)</f>
        <v>11</v>
      </c>
    </row>
    <row r="496" spans="1:10" x14ac:dyDescent="0.3">
      <c r="A496" t="s">
        <v>1134</v>
      </c>
      <c r="B496" t="s">
        <v>884</v>
      </c>
      <c r="C496" t="s">
        <v>885</v>
      </c>
      <c r="D496" t="s">
        <v>6</v>
      </c>
      <c r="F496" t="s">
        <v>2337</v>
      </c>
      <c r="G496" t="str" cm="1">
        <f t="array" ref="G496">_xlfn.IFS(
ISNUMBER(SEARCH("hold",C496)),"hold",
ISNUMBER(SEARCH("youth",C496)),"youth",
ISNUMBER(SEARCH("juve",C496)),"youth",
OR(ISNUMBER(SEARCH("health",B496)),ISNUMBER(SEARCH("care ",B496)),ISNUMBER(SEARCH("psych",B496)),ISNUMBER(SEARCH("medical",B496)),ISNUMBER(SEARCH("hospital",B496))),"medical",
ISNUMBER(SEARCH("correct",B496)),"correctional",
ISNUMBER(SEARCH("process",B496)),"processing",
ISNUMBER(SEARCH("detention center",B496)),"detention",
ISNUMBER(SEARCH("detention fac",B496)),"detention",
ISNUMBER(SEARCH("staging",B496)),"staging",
ISNUMBER(SEARCH("prison",B496)),"prison",
ISNUMBER(SEARCH("penet",B496)),"prison",
ISNUMBER(SEARCH("jail",B496)),"jail",
ISNUMBER(SEARCH("detention",B496)),"detention",
ISNUMBER(SEARCH("sheriff",B496)),"sheriff/police",
ISNUMBER(SEARCH("police",B496)),"sheriff/police",
TRUE,""
)</f>
        <v>jail</v>
      </c>
      <c r="H496">
        <f>INDEX(Sheet2!B:B,MATCH(C496,Sheet2!A:A,0),1)</f>
        <v>11</v>
      </c>
      <c r="I496">
        <f>3-COUNTBLANK(D496:F496)</f>
        <v>2</v>
      </c>
      <c r="J496">
        <f>IF(I496&gt;=2,H496,0)</f>
        <v>11</v>
      </c>
    </row>
    <row r="497" spans="1:10" x14ac:dyDescent="0.3">
      <c r="A497" t="s">
        <v>1137</v>
      </c>
      <c r="B497" t="s">
        <v>887</v>
      </c>
      <c r="C497" t="s">
        <v>888</v>
      </c>
      <c r="D497" t="s">
        <v>42</v>
      </c>
      <c r="G497" t="str" cm="1">
        <f t="array" ref="G497">_xlfn.IFS(
ISNUMBER(SEARCH("hold",C497)),"hold",
ISNUMBER(SEARCH("youth",C497)),"youth",
ISNUMBER(SEARCH("juve",C497)),"youth",
OR(ISNUMBER(SEARCH("health",B497)),ISNUMBER(SEARCH("care ",B497)),ISNUMBER(SEARCH("psych",B497)),ISNUMBER(SEARCH("medical",B497)),ISNUMBER(SEARCH("hospital",B497))),"medical",
ISNUMBER(SEARCH("correct",B497)),"correctional",
ISNUMBER(SEARCH("process",B497)),"processing",
ISNUMBER(SEARCH("detention center",B497)),"detention",
ISNUMBER(SEARCH("detention fac",B497)),"detention",
ISNUMBER(SEARCH("staging",B497)),"staging",
ISNUMBER(SEARCH("prison",B497)),"prison",
ISNUMBER(SEARCH("penet",B497)),"prison",
ISNUMBER(SEARCH("jail",B497)),"jail",
ISNUMBER(SEARCH("detention",B497)),"detention",
ISNUMBER(SEARCH("sheriff",B497)),"sheriff/police",
ISNUMBER(SEARCH("police",B497)),"sheriff/police",
TRUE,""
)</f>
        <v>medical</v>
      </c>
      <c r="H497">
        <f>INDEX(Sheet2!B:B,MATCH(C497,Sheet2!A:A,0),1)</f>
        <v>11</v>
      </c>
      <c r="I497">
        <f>3-COUNTBLANK(D497:F497)</f>
        <v>1</v>
      </c>
      <c r="J497">
        <f>IF(I497&gt;=2,H497,0)</f>
        <v>0</v>
      </c>
    </row>
    <row r="498" spans="1:10" x14ac:dyDescent="0.3">
      <c r="A498" t="s">
        <v>1140</v>
      </c>
      <c r="B498" t="s">
        <v>1613</v>
      </c>
      <c r="C498" t="s">
        <v>1614</v>
      </c>
      <c r="D498" t="s">
        <v>50</v>
      </c>
      <c r="G498" t="str" cm="1">
        <f t="array" ref="G498">_xlfn.IFS(
ISNUMBER(SEARCH("hold",C498)),"hold",
ISNUMBER(SEARCH("youth",C498)),"youth",
ISNUMBER(SEARCH("juve",C498)),"youth",
OR(ISNUMBER(SEARCH("health",B498)),ISNUMBER(SEARCH("care ",B498)),ISNUMBER(SEARCH("psych",B498)),ISNUMBER(SEARCH("medical",B498)),ISNUMBER(SEARCH("hospital",B498))),"medical",
ISNUMBER(SEARCH("correct",B498)),"correctional",
ISNUMBER(SEARCH("process",B498)),"processing",
ISNUMBER(SEARCH("detention center",B498)),"detention",
ISNUMBER(SEARCH("detention fac",B498)),"detention",
ISNUMBER(SEARCH("staging",B498)),"staging",
ISNUMBER(SEARCH("prison",B498)),"prison",
ISNUMBER(SEARCH("penet",B498)),"prison",
ISNUMBER(SEARCH("jail",B498)),"jail",
ISNUMBER(SEARCH("detention",B498)),"detention",
ISNUMBER(SEARCH("sheriff",B498)),"sheriff/police",
ISNUMBER(SEARCH("police",B498)),"sheriff/police",
TRUE,""
)</f>
        <v>jail</v>
      </c>
      <c r="H498">
        <f>INDEX(Sheet2!B:B,MATCH(C498,Sheet2!A:A,0),1)</f>
        <v>10</v>
      </c>
      <c r="I498">
        <f>3-COUNTBLANK(D498:F498)</f>
        <v>1</v>
      </c>
      <c r="J498">
        <f>IF(I498&gt;=2,H498,0)</f>
        <v>0</v>
      </c>
    </row>
    <row r="499" spans="1:10" x14ac:dyDescent="0.3">
      <c r="A499" t="s">
        <v>1143</v>
      </c>
      <c r="B499" t="s">
        <v>592</v>
      </c>
      <c r="C499" t="s">
        <v>593</v>
      </c>
      <c r="D499" t="s">
        <v>23</v>
      </c>
      <c r="G499" t="str" cm="1">
        <f t="array" ref="G499">_xlfn.IFS(
ISNUMBER(SEARCH("hold",C499)),"hold",
ISNUMBER(SEARCH("youth",C499)),"youth",
ISNUMBER(SEARCH("juve",C499)),"youth",
OR(ISNUMBER(SEARCH("health",B499)),ISNUMBER(SEARCH("care ",B499)),ISNUMBER(SEARCH("psych",B499)),ISNUMBER(SEARCH("medical",B499)),ISNUMBER(SEARCH("hospital",B499))),"medical",
ISNUMBER(SEARCH("correct",B499)),"correctional",
ISNUMBER(SEARCH("process",B499)),"processing",
ISNUMBER(SEARCH("detention center",B499)),"detention",
ISNUMBER(SEARCH("detention fac",B499)),"detention",
ISNUMBER(SEARCH("staging",B499)),"staging",
ISNUMBER(SEARCH("prison",B499)),"prison",
ISNUMBER(SEARCH("penet",B499)),"prison",
ISNUMBER(SEARCH("jail",B499)),"jail",
ISNUMBER(SEARCH("detention",B499)),"detention",
ISNUMBER(SEARCH("sheriff",B499)),"sheriff/police",
ISNUMBER(SEARCH("police",B499)),"sheriff/police",
TRUE,""
)</f>
        <v>correctional</v>
      </c>
      <c r="H499">
        <f>INDEX(Sheet2!B:B,MATCH(C499,Sheet2!A:A,0),1)</f>
        <v>10</v>
      </c>
      <c r="I499">
        <f>3-COUNTBLANK(D499:F499)</f>
        <v>1</v>
      </c>
      <c r="J499">
        <f>IF(I499&gt;=2,H499,0)</f>
        <v>0</v>
      </c>
    </row>
    <row r="500" spans="1:10" x14ac:dyDescent="0.3">
      <c r="A500" t="s">
        <v>1146</v>
      </c>
      <c r="B500" t="s">
        <v>989</v>
      </c>
      <c r="C500" t="s">
        <v>990</v>
      </c>
      <c r="D500" t="s">
        <v>6</v>
      </c>
      <c r="F500" t="s">
        <v>991</v>
      </c>
      <c r="G500" t="str" cm="1">
        <f t="array" ref="G500">_xlfn.IFS(
ISNUMBER(SEARCH("hold",C500)),"hold",
ISNUMBER(SEARCH("youth",C500)),"youth",
ISNUMBER(SEARCH("juve",C500)),"youth",
OR(ISNUMBER(SEARCH("health",B500)),ISNUMBER(SEARCH("care ",B500)),ISNUMBER(SEARCH("psych",B500)),ISNUMBER(SEARCH("medical",B500)),ISNUMBER(SEARCH("hospital",B500))),"medical",
ISNUMBER(SEARCH("correct",B500)),"correctional",
ISNUMBER(SEARCH("process",B500)),"processing",
ISNUMBER(SEARCH("detention center",B500)),"detention",
ISNUMBER(SEARCH("detention fac",B500)),"detention",
ISNUMBER(SEARCH("staging",B500)),"staging",
ISNUMBER(SEARCH("prison",B500)),"prison",
ISNUMBER(SEARCH("penet",B500)),"prison",
ISNUMBER(SEARCH("jail",B500)),"jail",
ISNUMBER(SEARCH("detention",B500)),"detention",
ISNUMBER(SEARCH("sheriff",B500)),"sheriff/police",
ISNUMBER(SEARCH("police",B500)),"sheriff/police",
TRUE,""
)</f>
        <v>jail</v>
      </c>
      <c r="H500">
        <f>INDEX(Sheet2!B:B,MATCH(C500,Sheet2!A:A,0),1)</f>
        <v>10</v>
      </c>
      <c r="I500">
        <f>3-COUNTBLANK(D500:F500)</f>
        <v>2</v>
      </c>
      <c r="J500">
        <f>IF(I500&gt;=2,H500,0)</f>
        <v>10</v>
      </c>
    </row>
    <row r="501" spans="1:10" x14ac:dyDescent="0.3">
      <c r="A501" t="s">
        <v>1149</v>
      </c>
      <c r="B501" t="s">
        <v>1636</v>
      </c>
      <c r="C501" t="s">
        <v>1637</v>
      </c>
      <c r="D501" t="s">
        <v>15</v>
      </c>
      <c r="E501" t="s">
        <v>2235</v>
      </c>
      <c r="G501" t="str" cm="1">
        <f t="array" ref="G501">_xlfn.IFS(
ISNUMBER(SEARCH("hold",C501)),"hold",
ISNUMBER(SEARCH("youth",C501)),"youth",
ISNUMBER(SEARCH("juve",C501)),"youth",
OR(ISNUMBER(SEARCH("health",B501)),ISNUMBER(SEARCH("care ",B501)),ISNUMBER(SEARCH("psych",B501)),ISNUMBER(SEARCH("medical",B501)),ISNUMBER(SEARCH("hospital",B501))),"medical",
ISNUMBER(SEARCH("correct",B501)),"correctional",
ISNUMBER(SEARCH("process",B501)),"processing",
ISNUMBER(SEARCH("detention center",B501)),"detention",
ISNUMBER(SEARCH("detention fac",B501)),"detention",
ISNUMBER(SEARCH("staging",B501)),"staging",
ISNUMBER(SEARCH("prison",B501)),"prison",
ISNUMBER(SEARCH("penet",B501)),"prison",
ISNUMBER(SEARCH("jail",B501)),"jail",
ISNUMBER(SEARCH("detention",B501)),"detention",
ISNUMBER(SEARCH("sheriff",B501)),"sheriff/police",
ISNUMBER(SEARCH("police",B501)),"sheriff/police",
TRUE,""
)</f>
        <v>hold</v>
      </c>
      <c r="H501">
        <f>INDEX(Sheet2!B:B,MATCH(C501,Sheet2!A:A,0),1)</f>
        <v>9</v>
      </c>
      <c r="I501">
        <f>3-COUNTBLANK(D501:F501)</f>
        <v>2</v>
      </c>
      <c r="J501">
        <f>IF(I501&gt;=2,H501,0)</f>
        <v>9</v>
      </c>
    </row>
    <row r="502" spans="1:10" x14ac:dyDescent="0.3">
      <c r="A502" t="s">
        <v>1152</v>
      </c>
      <c r="B502" t="s">
        <v>1802</v>
      </c>
      <c r="C502" t="s">
        <v>1803</v>
      </c>
      <c r="D502" t="s">
        <v>238</v>
      </c>
      <c r="F502" t="s">
        <v>2289</v>
      </c>
      <c r="G502" t="str" cm="1">
        <f t="array" ref="G502">_xlfn.IFS(
ISNUMBER(SEARCH("hold",C502)),"hold",
ISNUMBER(SEARCH("youth",C502)),"youth",
ISNUMBER(SEARCH("juve",C502)),"youth",
OR(ISNUMBER(SEARCH("health",B502)),ISNUMBER(SEARCH("care ",B502)),ISNUMBER(SEARCH("psych",B502)),ISNUMBER(SEARCH("medical",B502)),ISNUMBER(SEARCH("hospital",B502))),"medical",
ISNUMBER(SEARCH("correct",B502)),"correctional",
ISNUMBER(SEARCH("process",B502)),"processing",
ISNUMBER(SEARCH("detention center",B502)),"detention",
ISNUMBER(SEARCH("detention fac",B502)),"detention",
ISNUMBER(SEARCH("staging",B502)),"staging",
ISNUMBER(SEARCH("prison",B502)),"prison",
ISNUMBER(SEARCH("penet",B502)),"prison",
ISNUMBER(SEARCH("jail",B502)),"jail",
ISNUMBER(SEARCH("detention",B502)),"detention",
ISNUMBER(SEARCH("sheriff",B502)),"sheriff/police",
ISNUMBER(SEARCH("police",B502)),"sheriff/police",
TRUE,""
)</f>
        <v>jail</v>
      </c>
      <c r="H502">
        <f>INDEX(Sheet2!B:B,MATCH(C502,Sheet2!A:A,0),1)</f>
        <v>9</v>
      </c>
      <c r="I502">
        <f>3-COUNTBLANK(D502:F502)</f>
        <v>2</v>
      </c>
      <c r="J502">
        <f>IF(I502&gt;=2,H502,0)</f>
        <v>9</v>
      </c>
    </row>
    <row r="503" spans="1:10" x14ac:dyDescent="0.3">
      <c r="A503" t="s">
        <v>1154</v>
      </c>
      <c r="B503" t="s">
        <v>457</v>
      </c>
      <c r="C503" t="s">
        <v>458</v>
      </c>
      <c r="D503" t="s">
        <v>141</v>
      </c>
      <c r="G503" t="str" cm="1">
        <f t="array" ref="G503">_xlfn.IFS(
ISNUMBER(SEARCH("hold",C503)),"hold",
ISNUMBER(SEARCH("youth",C503)),"youth",
ISNUMBER(SEARCH("juve",C503)),"youth",
OR(ISNUMBER(SEARCH("health",B503)),ISNUMBER(SEARCH("care ",B503)),ISNUMBER(SEARCH("psych",B503)),ISNUMBER(SEARCH("medical",B503)),ISNUMBER(SEARCH("hospital",B503))),"medical",
ISNUMBER(SEARCH("correct",B503)),"correctional",
ISNUMBER(SEARCH("process",B503)),"processing",
ISNUMBER(SEARCH("detention center",B503)),"detention",
ISNUMBER(SEARCH("detention fac",B503)),"detention",
ISNUMBER(SEARCH("staging",B503)),"staging",
ISNUMBER(SEARCH("prison",B503)),"prison",
ISNUMBER(SEARCH("penet",B503)),"prison",
ISNUMBER(SEARCH("jail",B503)),"jail",
ISNUMBER(SEARCH("detention",B503)),"detention",
ISNUMBER(SEARCH("sheriff",B503)),"sheriff/police",
ISNUMBER(SEARCH("police",B503)),"sheriff/police",
TRUE,""
)</f>
        <v>medical</v>
      </c>
      <c r="H503">
        <f>INDEX(Sheet2!B:B,MATCH(C503,Sheet2!A:A,0),1)</f>
        <v>9</v>
      </c>
      <c r="I503">
        <f>3-COUNTBLANK(D503:F503)</f>
        <v>1</v>
      </c>
      <c r="J503">
        <f>IF(I503&gt;=2,H503,0)</f>
        <v>0</v>
      </c>
    </row>
    <row r="504" spans="1:10" x14ac:dyDescent="0.3">
      <c r="A504" t="s">
        <v>1156</v>
      </c>
      <c r="B504" t="s">
        <v>787</v>
      </c>
      <c r="C504" t="s">
        <v>788</v>
      </c>
      <c r="D504" t="s">
        <v>72</v>
      </c>
      <c r="G504" t="str" cm="1">
        <f t="array" ref="G504">_xlfn.IFS(
ISNUMBER(SEARCH("hold",C504)),"hold",
ISNUMBER(SEARCH("youth",C504)),"youth",
ISNUMBER(SEARCH("juve",C504)),"youth",
OR(ISNUMBER(SEARCH("health",B504)),ISNUMBER(SEARCH("care ",B504)),ISNUMBER(SEARCH("psych",B504)),ISNUMBER(SEARCH("medical",B504)),ISNUMBER(SEARCH("hospital",B504))),"medical",
ISNUMBER(SEARCH("correct",B504)),"correctional",
ISNUMBER(SEARCH("process",B504)),"processing",
ISNUMBER(SEARCH("detention center",B504)),"detention",
ISNUMBER(SEARCH("detention fac",B504)),"detention",
ISNUMBER(SEARCH("staging",B504)),"staging",
ISNUMBER(SEARCH("prison",B504)),"prison",
ISNUMBER(SEARCH("penet",B504)),"prison",
ISNUMBER(SEARCH("jail",B504)),"jail",
ISNUMBER(SEARCH("detention",B504)),"detention",
ISNUMBER(SEARCH("sheriff",B504)),"sheriff/police",
ISNUMBER(SEARCH("police",B504)),"sheriff/police",
TRUE,""
)</f>
        <v>medical</v>
      </c>
      <c r="H504">
        <f>INDEX(Sheet2!B:B,MATCH(C504,Sheet2!A:A,0),1)</f>
        <v>9</v>
      </c>
      <c r="I504">
        <f>3-COUNTBLANK(D504:F504)</f>
        <v>1</v>
      </c>
      <c r="J504">
        <f>IF(I504&gt;=2,H504,0)</f>
        <v>0</v>
      </c>
    </row>
    <row r="505" spans="1:10" x14ac:dyDescent="0.3">
      <c r="A505" t="s">
        <v>1160</v>
      </c>
      <c r="B505" t="s">
        <v>2559</v>
      </c>
      <c r="C505" t="s">
        <v>1656</v>
      </c>
      <c r="D505" t="s">
        <v>59</v>
      </c>
      <c r="G505" t="str" cm="1">
        <f t="array" ref="G505">_xlfn.IFS(
ISNUMBER(SEARCH("hold",C505)),"hold",
ISNUMBER(SEARCH("youth",C505)),"youth",
ISNUMBER(SEARCH("juve",C505)),"youth",
OR(ISNUMBER(SEARCH("health",B505)),ISNUMBER(SEARCH("care ",B505)),ISNUMBER(SEARCH("psych",B505)),ISNUMBER(SEARCH("medical",B505)),ISNUMBER(SEARCH("hospital",B505))),"medical",
ISNUMBER(SEARCH("correct",B505)),"correctional",
ISNUMBER(SEARCH("process",B505)),"processing",
ISNUMBER(SEARCH("detention center",B505)),"detention",
ISNUMBER(SEARCH("detention fac",B505)),"detention",
ISNUMBER(SEARCH("staging",B505)),"staging",
ISNUMBER(SEARCH("prison",B505)),"prison",
ISNUMBER(SEARCH("penet",B505)),"prison",
ISNUMBER(SEARCH("jail",B505)),"jail",
ISNUMBER(SEARCH("detention",B505)),"detention",
ISNUMBER(SEARCH("sheriff",B505)),"sheriff/police",
ISNUMBER(SEARCH("police",B505)),"sheriff/police",
TRUE,""
)</f>
        <v>detention</v>
      </c>
      <c r="H505">
        <f>INDEX(Sheet2!B:B,MATCH(C505,Sheet2!A:A,0),1)</f>
        <v>8</v>
      </c>
      <c r="I505">
        <f>3-COUNTBLANK(D505:F505)</f>
        <v>1</v>
      </c>
      <c r="J505">
        <f>IF(I505&gt;=2,H505,0)</f>
        <v>0</v>
      </c>
    </row>
    <row r="506" spans="1:10" x14ac:dyDescent="0.3">
      <c r="A506" t="s">
        <v>1163</v>
      </c>
      <c r="B506" t="s">
        <v>255</v>
      </c>
      <c r="C506" t="s">
        <v>256</v>
      </c>
      <c r="G506" t="str" cm="1">
        <f t="array" ref="G506">_xlfn.IFS(
ISNUMBER(SEARCH("hold",C506)),"hold",
ISNUMBER(SEARCH("youth",C506)),"youth",
ISNUMBER(SEARCH("juve",C506)),"youth",
OR(ISNUMBER(SEARCH("health",B506)),ISNUMBER(SEARCH("care ",B506)),ISNUMBER(SEARCH("psych",B506)),ISNUMBER(SEARCH("medical",B506)),ISNUMBER(SEARCH("hospital",B506))),"medical",
ISNUMBER(SEARCH("correct",B506)),"correctional",
ISNUMBER(SEARCH("process",B506)),"processing",
ISNUMBER(SEARCH("detention center",B506)),"detention",
ISNUMBER(SEARCH("detention fac",B506)),"detention",
ISNUMBER(SEARCH("staging",B506)),"staging",
ISNUMBER(SEARCH("prison",B506)),"prison",
ISNUMBER(SEARCH("penet",B506)),"prison",
ISNUMBER(SEARCH("jail",B506)),"jail",
ISNUMBER(SEARCH("detention",B506)),"detention",
ISNUMBER(SEARCH("sheriff",B506)),"sheriff/police",
ISNUMBER(SEARCH("police",B506)),"sheriff/police",
TRUE,""
)</f>
        <v>correctional</v>
      </c>
      <c r="H506">
        <f>INDEX(Sheet2!B:B,MATCH(C506,Sheet2!A:A,0),1)</f>
        <v>8</v>
      </c>
      <c r="I506">
        <f>3-COUNTBLANK(D506:F506)</f>
        <v>0</v>
      </c>
      <c r="J506">
        <f>IF(I506&gt;=2,H506,0)</f>
        <v>0</v>
      </c>
    </row>
    <row r="507" spans="1:10" x14ac:dyDescent="0.3">
      <c r="A507" t="s">
        <v>1166</v>
      </c>
      <c r="B507" t="s">
        <v>1906</v>
      </c>
      <c r="C507" t="s">
        <v>1907</v>
      </c>
      <c r="D507" t="s">
        <v>72</v>
      </c>
      <c r="G507" t="str" cm="1">
        <f t="array" ref="G507">_xlfn.IFS(
ISNUMBER(SEARCH("hold",C507)),"hold",
ISNUMBER(SEARCH("youth",C507)),"youth",
ISNUMBER(SEARCH("juve",C507)),"youth",
OR(ISNUMBER(SEARCH("health",B507)),ISNUMBER(SEARCH("care ",B507)),ISNUMBER(SEARCH("psych",B507)),ISNUMBER(SEARCH("medical",B507)),ISNUMBER(SEARCH("hospital",B507))),"medical",
ISNUMBER(SEARCH("correct",B507)),"correctional",
ISNUMBER(SEARCH("process",B507)),"processing",
ISNUMBER(SEARCH("detention center",B507)),"detention",
ISNUMBER(SEARCH("detention fac",B507)),"detention",
ISNUMBER(SEARCH("staging",B507)),"staging",
ISNUMBER(SEARCH("prison",B507)),"prison",
ISNUMBER(SEARCH("penet",B507)),"prison",
ISNUMBER(SEARCH("jail",B507)),"jail",
ISNUMBER(SEARCH("detention",B507)),"detention",
ISNUMBER(SEARCH("sheriff",B507)),"sheriff/police",
ISNUMBER(SEARCH("police",B507)),"sheriff/police",
TRUE,""
)</f>
        <v>medical</v>
      </c>
      <c r="H507">
        <f>INDEX(Sheet2!B:B,MATCH(C507,Sheet2!A:A,0),1)</f>
        <v>8</v>
      </c>
      <c r="I507">
        <f>3-COUNTBLANK(D507:F507)</f>
        <v>1</v>
      </c>
      <c r="J507">
        <f>IF(I507&gt;=2,H507,0)</f>
        <v>0</v>
      </c>
    </row>
    <row r="508" spans="1:10" x14ac:dyDescent="0.3">
      <c r="A508" t="s">
        <v>1170</v>
      </c>
      <c r="B508" t="s">
        <v>536</v>
      </c>
      <c r="C508" t="s">
        <v>537</v>
      </c>
      <c r="D508" t="s">
        <v>42</v>
      </c>
      <c r="G508" t="str" cm="1">
        <f t="array" ref="G508">_xlfn.IFS(
ISNUMBER(SEARCH("hold",C508)),"hold",
ISNUMBER(SEARCH("youth",C508)),"youth",
ISNUMBER(SEARCH("juve",C508)),"youth",
OR(ISNUMBER(SEARCH("health",B508)),ISNUMBER(SEARCH("care ",B508)),ISNUMBER(SEARCH("psych",B508)),ISNUMBER(SEARCH("medical",B508)),ISNUMBER(SEARCH("hospital",B508))),"medical",
ISNUMBER(SEARCH("correct",B508)),"correctional",
ISNUMBER(SEARCH("process",B508)),"processing",
ISNUMBER(SEARCH("detention center",B508)),"detention",
ISNUMBER(SEARCH("detention fac",B508)),"detention",
ISNUMBER(SEARCH("staging",B508)),"staging",
ISNUMBER(SEARCH("prison",B508)),"prison",
ISNUMBER(SEARCH("penet",B508)),"prison",
ISNUMBER(SEARCH("jail",B508)),"jail",
ISNUMBER(SEARCH("detention",B508)),"detention",
ISNUMBER(SEARCH("sheriff",B508)),"sheriff/police",
ISNUMBER(SEARCH("police",B508)),"sheriff/police",
TRUE,""
)</f>
        <v>medical</v>
      </c>
      <c r="H508">
        <f>INDEX(Sheet2!B:B,MATCH(C508,Sheet2!A:A,0),1)</f>
        <v>8</v>
      </c>
      <c r="I508">
        <f>3-COUNTBLANK(D508:F508)</f>
        <v>1</v>
      </c>
      <c r="J508">
        <f>IF(I508&gt;=2,H508,0)</f>
        <v>0</v>
      </c>
    </row>
    <row r="509" spans="1:10" x14ac:dyDescent="0.3">
      <c r="A509" t="s">
        <v>1173</v>
      </c>
      <c r="B509" t="s">
        <v>434</v>
      </c>
      <c r="C509" t="s">
        <v>435</v>
      </c>
      <c r="D509" t="s">
        <v>38</v>
      </c>
      <c r="F509" t="s">
        <v>2246</v>
      </c>
      <c r="G509" t="str" cm="1">
        <f t="array" ref="G509">_xlfn.IFS(
ISNUMBER(SEARCH("hold",C509)),"hold",
ISNUMBER(SEARCH("youth",C509)),"youth",
ISNUMBER(SEARCH("juve",C509)),"youth",
OR(ISNUMBER(SEARCH("health",B509)),ISNUMBER(SEARCH("care ",B509)),ISNUMBER(SEARCH("psych",B509)),ISNUMBER(SEARCH("medical",B509)),ISNUMBER(SEARCH("hospital",B509))),"medical",
ISNUMBER(SEARCH("correct",B509)),"correctional",
ISNUMBER(SEARCH("process",B509)),"processing",
ISNUMBER(SEARCH("detention center",B509)),"detention",
ISNUMBER(SEARCH("detention fac",B509)),"detention",
ISNUMBER(SEARCH("staging",B509)),"staging",
ISNUMBER(SEARCH("prison",B509)),"prison",
ISNUMBER(SEARCH("penet",B509)),"prison",
ISNUMBER(SEARCH("jail",B509)),"jail",
ISNUMBER(SEARCH("detention",B509)),"detention",
ISNUMBER(SEARCH("sheriff",B509)),"sheriff/police",
ISNUMBER(SEARCH("police",B509)),"sheriff/police",
TRUE,""
)</f>
        <v>correctional</v>
      </c>
      <c r="H509">
        <f>INDEX(Sheet2!B:B,MATCH(C509,Sheet2!A:A,0),1)</f>
        <v>8</v>
      </c>
      <c r="I509">
        <f>3-COUNTBLANK(D509:F509)</f>
        <v>2</v>
      </c>
      <c r="J509">
        <f>IF(I509&gt;=2,H509,0)</f>
        <v>8</v>
      </c>
    </row>
    <row r="510" spans="1:10" x14ac:dyDescent="0.3">
      <c r="A510" t="s">
        <v>1176</v>
      </c>
      <c r="B510" t="s">
        <v>846</v>
      </c>
      <c r="C510" t="s">
        <v>847</v>
      </c>
      <c r="D510" t="s">
        <v>116</v>
      </c>
      <c r="F510" t="s">
        <v>841</v>
      </c>
      <c r="G510" t="str" cm="1">
        <f t="array" ref="G510">_xlfn.IFS(
ISNUMBER(SEARCH("hold",C510)),"hold",
ISNUMBER(SEARCH("youth",C510)),"youth",
ISNUMBER(SEARCH("juve",C510)),"youth",
OR(ISNUMBER(SEARCH("health",B510)),ISNUMBER(SEARCH("care ",B510)),ISNUMBER(SEARCH("psych",B510)),ISNUMBER(SEARCH("medical",B510)),ISNUMBER(SEARCH("hospital",B510))),"medical",
ISNUMBER(SEARCH("correct",B510)),"correctional",
ISNUMBER(SEARCH("process",B510)),"processing",
ISNUMBER(SEARCH("detention center",B510)),"detention",
ISNUMBER(SEARCH("detention fac",B510)),"detention",
ISNUMBER(SEARCH("staging",B510)),"staging",
ISNUMBER(SEARCH("prison",B510)),"prison",
ISNUMBER(SEARCH("penet",B510)),"prison",
ISNUMBER(SEARCH("jail",B510)),"jail",
ISNUMBER(SEARCH("detention",B510)),"detention",
ISNUMBER(SEARCH("sheriff",B510)),"sheriff/police",
ISNUMBER(SEARCH("police",B510)),"sheriff/police",
TRUE,""
)</f>
        <v>jail</v>
      </c>
      <c r="H510">
        <f>INDEX(Sheet2!B:B,MATCH(C510,Sheet2!A:A,0),1)</f>
        <v>8</v>
      </c>
      <c r="I510">
        <f>3-COUNTBLANK(D510:F510)</f>
        <v>2</v>
      </c>
      <c r="J510">
        <f>IF(I510&gt;=2,H510,0)</f>
        <v>8</v>
      </c>
    </row>
    <row r="511" spans="1:10" x14ac:dyDescent="0.3">
      <c r="A511" t="s">
        <v>1179</v>
      </c>
      <c r="B511" t="s">
        <v>1544</v>
      </c>
      <c r="C511" t="s">
        <v>1545</v>
      </c>
      <c r="D511" t="s">
        <v>59</v>
      </c>
      <c r="F511" t="s">
        <v>2388</v>
      </c>
      <c r="G511" t="str" cm="1">
        <f t="array" ref="G511">_xlfn.IFS(
ISNUMBER(SEARCH("hold",C511)),"hold",
ISNUMBER(SEARCH("youth",C511)),"youth",
ISNUMBER(SEARCH("juve",C511)),"youth",
OR(ISNUMBER(SEARCH("health",B511)),ISNUMBER(SEARCH("care ",B511)),ISNUMBER(SEARCH("psych",B511)),ISNUMBER(SEARCH("medical",B511)),ISNUMBER(SEARCH("hospital",B511))),"medical",
ISNUMBER(SEARCH("correct",B511)),"correctional",
ISNUMBER(SEARCH("process",B511)),"processing",
ISNUMBER(SEARCH("detention center",B511)),"detention",
ISNUMBER(SEARCH("detention fac",B511)),"detention",
ISNUMBER(SEARCH("staging",B511)),"staging",
ISNUMBER(SEARCH("prison",B511)),"prison",
ISNUMBER(SEARCH("penet",B511)),"prison",
ISNUMBER(SEARCH("jail",B511)),"jail",
ISNUMBER(SEARCH("detention",B511)),"detention",
ISNUMBER(SEARCH("sheriff",B511)),"sheriff/police",
ISNUMBER(SEARCH("police",B511)),"sheriff/police",
TRUE,""
)</f>
        <v>jail</v>
      </c>
      <c r="H511">
        <f>INDEX(Sheet2!B:B,MATCH(C511,Sheet2!A:A,0),1)</f>
        <v>8</v>
      </c>
      <c r="I511">
        <f>3-COUNTBLANK(D511:F511)</f>
        <v>2</v>
      </c>
      <c r="J511">
        <f>IF(I511&gt;=2,H511,0)</f>
        <v>8</v>
      </c>
    </row>
    <row r="512" spans="1:10" x14ac:dyDescent="0.3">
      <c r="A512" t="s">
        <v>1182</v>
      </c>
      <c r="B512" t="s">
        <v>2003</v>
      </c>
      <c r="C512" t="s">
        <v>1964</v>
      </c>
      <c r="D512" t="s">
        <v>68</v>
      </c>
      <c r="F512" t="s">
        <v>2396</v>
      </c>
      <c r="G512" t="str" cm="1">
        <f t="array" ref="G512">_xlfn.IFS(
ISNUMBER(SEARCH("hold",C512)),"hold",
ISNUMBER(SEARCH("youth",C512)),"youth",
ISNUMBER(SEARCH("juve",C512)),"youth",
OR(ISNUMBER(SEARCH("health",B512)),ISNUMBER(SEARCH("care ",B512)),ISNUMBER(SEARCH("psych",B512)),ISNUMBER(SEARCH("medical",B512)),ISNUMBER(SEARCH("hospital",B512))),"medical",
ISNUMBER(SEARCH("correct",B512)),"correctional",
ISNUMBER(SEARCH("process",B512)),"processing",
ISNUMBER(SEARCH("detention center",B512)),"detention",
ISNUMBER(SEARCH("detention fac",B512)),"detention",
ISNUMBER(SEARCH("staging",B512)),"staging",
ISNUMBER(SEARCH("prison",B512)),"prison",
ISNUMBER(SEARCH("penet",B512)),"prison",
ISNUMBER(SEARCH("jail",B512)),"jail",
ISNUMBER(SEARCH("detention",B512)),"detention",
ISNUMBER(SEARCH("sheriff",B512)),"sheriff/police",
ISNUMBER(SEARCH("police",B512)),"sheriff/police",
TRUE,""
)</f>
        <v>jail</v>
      </c>
      <c r="H512">
        <f>INDEX(Sheet2!B:B,MATCH(C512,Sheet2!A:A,0),1)</f>
        <v>8</v>
      </c>
      <c r="I512">
        <f>3-COUNTBLANK(D512:F512)</f>
        <v>2</v>
      </c>
      <c r="J512">
        <f>IF(I512&gt;=2,H512,0)</f>
        <v>8</v>
      </c>
    </row>
    <row r="513" spans="1:10" x14ac:dyDescent="0.3">
      <c r="A513" t="s">
        <v>1480</v>
      </c>
      <c r="B513" t="s">
        <v>690</v>
      </c>
      <c r="C513" t="s">
        <v>691</v>
      </c>
      <c r="D513" t="s">
        <v>31</v>
      </c>
      <c r="F513" t="s">
        <v>1294</v>
      </c>
      <c r="G513" t="str" cm="1">
        <f t="array" ref="G513">_xlfn.IFS(
ISNUMBER(SEARCH("hold",C513)),"hold",
ISNUMBER(SEARCH("youth",C513)),"youth",
ISNUMBER(SEARCH("juve",C513)),"youth",
OR(ISNUMBER(SEARCH("health",B513)),ISNUMBER(SEARCH("care ",B513)),ISNUMBER(SEARCH("psych",B513)),ISNUMBER(SEARCH("medical",B513)),ISNUMBER(SEARCH("hospital",B513))),"medical",
ISNUMBER(SEARCH("correct",B513)),"correctional",
ISNUMBER(SEARCH("process",B513)),"processing",
ISNUMBER(SEARCH("detention center",B513)),"detention",
ISNUMBER(SEARCH("detention fac",B513)),"detention",
ISNUMBER(SEARCH("staging",B513)),"staging",
ISNUMBER(SEARCH("prison",B513)),"prison",
ISNUMBER(SEARCH("penet",B513)),"prison",
ISNUMBER(SEARCH("jail",B513)),"jail",
ISNUMBER(SEARCH("detention",B513)),"detention",
ISNUMBER(SEARCH("sheriff",B513)),"sheriff/police",
ISNUMBER(SEARCH("police",B513)),"sheriff/police",
TRUE,""
)</f>
        <v>sheriff/police</v>
      </c>
      <c r="H513">
        <f>INDEX(Sheet2!B:B,MATCH(C513,Sheet2!A:A,0),1)</f>
        <v>1</v>
      </c>
      <c r="I513">
        <f>3-COUNTBLANK(D513:F513)</f>
        <v>2</v>
      </c>
      <c r="J513">
        <f>IF(I513&gt;=2,H513,0)</f>
        <v>1</v>
      </c>
    </row>
    <row r="514" spans="1:10" x14ac:dyDescent="0.3">
      <c r="A514" t="s">
        <v>1188</v>
      </c>
      <c r="B514" t="s">
        <v>224</v>
      </c>
      <c r="C514" t="s">
        <v>225</v>
      </c>
      <c r="D514" t="s">
        <v>95</v>
      </c>
      <c r="F514" t="s">
        <v>2308</v>
      </c>
      <c r="G514" t="str" cm="1">
        <f t="array" ref="G514">_xlfn.IFS(
ISNUMBER(SEARCH("hold",C514)),"hold",
ISNUMBER(SEARCH("youth",C514)),"youth",
ISNUMBER(SEARCH("juve",C514)),"youth",
OR(ISNUMBER(SEARCH("health",B514)),ISNUMBER(SEARCH("care ",B514)),ISNUMBER(SEARCH("psych",B514)),ISNUMBER(SEARCH("medical",B514)),ISNUMBER(SEARCH("hospital",B514))),"medical",
ISNUMBER(SEARCH("correct",B514)),"correctional",
ISNUMBER(SEARCH("process",B514)),"processing",
ISNUMBER(SEARCH("detention center",B514)),"detention",
ISNUMBER(SEARCH("detention fac",B514)),"detention",
ISNUMBER(SEARCH("staging",B514)),"staging",
ISNUMBER(SEARCH("prison",B514)),"prison",
ISNUMBER(SEARCH("penet",B514)),"prison",
ISNUMBER(SEARCH("jail",B514)),"jail",
ISNUMBER(SEARCH("detention",B514)),"detention",
ISNUMBER(SEARCH("sheriff",B514)),"sheriff/police",
ISNUMBER(SEARCH("police",B514)),"sheriff/police",
TRUE,""
)</f>
        <v>jail</v>
      </c>
      <c r="H514">
        <f>INDEX(Sheet2!B:B,MATCH(C514,Sheet2!A:A,0),1)</f>
        <v>7</v>
      </c>
      <c r="I514">
        <f>3-COUNTBLANK(D514:F514)</f>
        <v>2</v>
      </c>
      <c r="J514">
        <f>IF(I514&gt;=2,H514,0)</f>
        <v>7</v>
      </c>
    </row>
    <row r="515" spans="1:10" x14ac:dyDescent="0.3">
      <c r="A515" t="s">
        <v>1191</v>
      </c>
      <c r="B515" t="s">
        <v>1036</v>
      </c>
      <c r="C515" t="s">
        <v>1037</v>
      </c>
      <c r="D515" t="s">
        <v>163</v>
      </c>
      <c r="F515" t="s">
        <v>2348</v>
      </c>
      <c r="G515" t="str" cm="1">
        <f t="array" ref="G515">_xlfn.IFS(
ISNUMBER(SEARCH("hold",C515)),"hold",
ISNUMBER(SEARCH("youth",C515)),"youth",
ISNUMBER(SEARCH("juve",C515)),"youth",
OR(ISNUMBER(SEARCH("health",B515)),ISNUMBER(SEARCH("care ",B515)),ISNUMBER(SEARCH("psych",B515)),ISNUMBER(SEARCH("medical",B515)),ISNUMBER(SEARCH("hospital",B515))),"medical",
ISNUMBER(SEARCH("correct",B515)),"correctional",
ISNUMBER(SEARCH("process",B515)),"processing",
ISNUMBER(SEARCH("detention center",B515)),"detention",
ISNUMBER(SEARCH("detention fac",B515)),"detention",
ISNUMBER(SEARCH("staging",B515)),"staging",
ISNUMBER(SEARCH("prison",B515)),"prison",
ISNUMBER(SEARCH("penet",B515)),"prison",
ISNUMBER(SEARCH("jail",B515)),"jail",
ISNUMBER(SEARCH("detention",B515)),"detention",
ISNUMBER(SEARCH("sheriff",B515)),"sheriff/police",
ISNUMBER(SEARCH("police",B515)),"sheriff/police",
TRUE,""
)</f>
        <v>jail</v>
      </c>
      <c r="H515">
        <f>INDEX(Sheet2!B:B,MATCH(C515,Sheet2!A:A,0),1)</f>
        <v>7</v>
      </c>
      <c r="I515">
        <f>3-COUNTBLANK(D515:F515)</f>
        <v>2</v>
      </c>
      <c r="J515">
        <f>IF(I515&gt;=2,H515,0)</f>
        <v>7</v>
      </c>
    </row>
    <row r="516" spans="1:10" x14ac:dyDescent="0.3">
      <c r="A516" t="s">
        <v>1194</v>
      </c>
      <c r="B516" t="s">
        <v>1199</v>
      </c>
      <c r="C516" t="s">
        <v>1200</v>
      </c>
      <c r="D516" t="s">
        <v>68</v>
      </c>
      <c r="F516" t="s">
        <v>2358</v>
      </c>
      <c r="G516" t="str" cm="1">
        <f t="array" ref="G516">_xlfn.IFS(
ISNUMBER(SEARCH("hold",C516)),"hold",
ISNUMBER(SEARCH("youth",C516)),"youth",
ISNUMBER(SEARCH("juve",C516)),"youth",
OR(ISNUMBER(SEARCH("health",B516)),ISNUMBER(SEARCH("care ",B516)),ISNUMBER(SEARCH("psych",B516)),ISNUMBER(SEARCH("medical",B516)),ISNUMBER(SEARCH("hospital",B516))),"medical",
ISNUMBER(SEARCH("correct",B516)),"correctional",
ISNUMBER(SEARCH("process",B516)),"processing",
ISNUMBER(SEARCH("detention center",B516)),"detention",
ISNUMBER(SEARCH("detention fac",B516)),"detention",
ISNUMBER(SEARCH("staging",B516)),"staging",
ISNUMBER(SEARCH("prison",B516)),"prison",
ISNUMBER(SEARCH("penet",B516)),"prison",
ISNUMBER(SEARCH("jail",B516)),"jail",
ISNUMBER(SEARCH("detention",B516)),"detention",
ISNUMBER(SEARCH("sheriff",B516)),"sheriff/police",
ISNUMBER(SEARCH("police",B516)),"sheriff/police",
TRUE,""
)</f>
        <v>jail</v>
      </c>
      <c r="H516">
        <f>INDEX(Sheet2!B:B,MATCH(C516,Sheet2!A:A,0),1)</f>
        <v>7</v>
      </c>
      <c r="I516">
        <f>3-COUNTBLANK(D516:F516)</f>
        <v>2</v>
      </c>
      <c r="J516">
        <f>IF(I516&gt;=2,H516,0)</f>
        <v>7</v>
      </c>
    </row>
    <row r="517" spans="1:10" x14ac:dyDescent="0.3">
      <c r="A517" t="s">
        <v>1198</v>
      </c>
      <c r="B517" t="s">
        <v>233</v>
      </c>
      <c r="C517" t="s">
        <v>234</v>
      </c>
      <c r="G517" t="str" cm="1">
        <f t="array" ref="G517">_xlfn.IFS(
ISNUMBER(SEARCH("hold",C517)),"hold",
ISNUMBER(SEARCH("youth",C517)),"youth",
ISNUMBER(SEARCH("juve",C517)),"youth",
OR(ISNUMBER(SEARCH("health",B517)),ISNUMBER(SEARCH("care ",B517)),ISNUMBER(SEARCH("psych",B517)),ISNUMBER(SEARCH("medical",B517)),ISNUMBER(SEARCH("hospital",B517))),"medical",
ISNUMBER(SEARCH("correct",B517)),"correctional",
ISNUMBER(SEARCH("process",B517)),"processing",
ISNUMBER(SEARCH("detention center",B517)),"detention",
ISNUMBER(SEARCH("detention fac",B517)),"detention",
ISNUMBER(SEARCH("staging",B517)),"staging",
ISNUMBER(SEARCH("prison",B517)),"prison",
ISNUMBER(SEARCH("penet",B517)),"prison",
ISNUMBER(SEARCH("jail",B517)),"jail",
ISNUMBER(SEARCH("detention",B517)),"detention",
ISNUMBER(SEARCH("sheriff",B517)),"sheriff/police",
ISNUMBER(SEARCH("police",B517)),"sheriff/police",
TRUE,""
)</f>
        <v>hold</v>
      </c>
      <c r="H517">
        <f>INDEX(Sheet2!B:B,MATCH(C517,Sheet2!A:A,0),1)</f>
        <v>7</v>
      </c>
      <c r="I517">
        <f>3-COUNTBLANK(D517:F517)</f>
        <v>0</v>
      </c>
      <c r="J517">
        <f>IF(I517&gt;=2,H517,0)</f>
        <v>0</v>
      </c>
    </row>
    <row r="518" spans="1:10" x14ac:dyDescent="0.3">
      <c r="A518" t="s">
        <v>1201</v>
      </c>
      <c r="B518" t="s">
        <v>993</v>
      </c>
      <c r="C518" t="s">
        <v>994</v>
      </c>
      <c r="D518" t="s">
        <v>72</v>
      </c>
      <c r="G518" t="str" cm="1">
        <f t="array" ref="G518">_xlfn.IFS(
ISNUMBER(SEARCH("hold",C518)),"hold",
ISNUMBER(SEARCH("youth",C518)),"youth",
ISNUMBER(SEARCH("juve",C518)),"youth",
OR(ISNUMBER(SEARCH("health",B518)),ISNUMBER(SEARCH("care ",B518)),ISNUMBER(SEARCH("psych",B518)),ISNUMBER(SEARCH("medical",B518)),ISNUMBER(SEARCH("hospital",B518))),"medical",
ISNUMBER(SEARCH("correct",B518)),"correctional",
ISNUMBER(SEARCH("process",B518)),"processing",
ISNUMBER(SEARCH("detention center",B518)),"detention",
ISNUMBER(SEARCH("detention fac",B518)),"detention",
ISNUMBER(SEARCH("staging",B518)),"staging",
ISNUMBER(SEARCH("prison",B518)),"prison",
ISNUMBER(SEARCH("penet",B518)),"prison",
ISNUMBER(SEARCH("jail",B518)),"jail",
ISNUMBER(SEARCH("detention",B518)),"detention",
ISNUMBER(SEARCH("sheriff",B518)),"sheriff/police",
ISNUMBER(SEARCH("police",B518)),"sheriff/police",
TRUE,""
)</f>
        <v>medical</v>
      </c>
      <c r="H518">
        <f>INDEX(Sheet2!B:B,MATCH(C518,Sheet2!A:A,0),1)</f>
        <v>7</v>
      </c>
      <c r="I518">
        <f>3-COUNTBLANK(D518:F518)</f>
        <v>1</v>
      </c>
      <c r="J518">
        <f>IF(I518&gt;=2,H518,0)</f>
        <v>0</v>
      </c>
    </row>
    <row r="519" spans="1:10" x14ac:dyDescent="0.3">
      <c r="A519" t="s">
        <v>1204</v>
      </c>
      <c r="B519" t="s">
        <v>996</v>
      </c>
      <c r="C519" t="s">
        <v>997</v>
      </c>
      <c r="D519" t="s">
        <v>72</v>
      </c>
      <c r="G519" t="str" cm="1">
        <f t="array" ref="G519">_xlfn.IFS(
ISNUMBER(SEARCH("hold",C519)),"hold",
ISNUMBER(SEARCH("youth",C519)),"youth",
ISNUMBER(SEARCH("juve",C519)),"youth",
OR(ISNUMBER(SEARCH("health",B519)),ISNUMBER(SEARCH("care ",B519)),ISNUMBER(SEARCH("psych",B519)),ISNUMBER(SEARCH("medical",B519)),ISNUMBER(SEARCH("hospital",B519))),"medical",
ISNUMBER(SEARCH("correct",B519)),"correctional",
ISNUMBER(SEARCH("process",B519)),"processing",
ISNUMBER(SEARCH("detention center",B519)),"detention",
ISNUMBER(SEARCH("detention fac",B519)),"detention",
ISNUMBER(SEARCH("staging",B519)),"staging",
ISNUMBER(SEARCH("prison",B519)),"prison",
ISNUMBER(SEARCH("penet",B519)),"prison",
ISNUMBER(SEARCH("jail",B519)),"jail",
ISNUMBER(SEARCH("detention",B519)),"detention",
ISNUMBER(SEARCH("sheriff",B519)),"sheriff/police",
ISNUMBER(SEARCH("police",B519)),"sheriff/police",
TRUE,""
)</f>
        <v>medical</v>
      </c>
      <c r="H519">
        <f>INDEX(Sheet2!B:B,MATCH(C519,Sheet2!A:A,0),1)</f>
        <v>6</v>
      </c>
      <c r="I519">
        <f>3-COUNTBLANK(D519:F519)</f>
        <v>1</v>
      </c>
      <c r="J519">
        <f>IF(I519&gt;=2,H519,0)</f>
        <v>0</v>
      </c>
    </row>
    <row r="520" spans="1:10" x14ac:dyDescent="0.3">
      <c r="A520" t="s">
        <v>1207</v>
      </c>
      <c r="B520" t="s">
        <v>101</v>
      </c>
      <c r="C520" t="s">
        <v>102</v>
      </c>
      <c r="D520" t="s">
        <v>35</v>
      </c>
      <c r="F520" t="s">
        <v>2302</v>
      </c>
      <c r="G520" t="str" cm="1">
        <f t="array" ref="G520">_xlfn.IFS(
ISNUMBER(SEARCH("hold",C520)),"hold",
ISNUMBER(SEARCH("youth",C520)),"youth",
ISNUMBER(SEARCH("juve",C520)),"youth",
OR(ISNUMBER(SEARCH("health",B520)),ISNUMBER(SEARCH("care ",B520)),ISNUMBER(SEARCH("psych",B520)),ISNUMBER(SEARCH("medical",B520)),ISNUMBER(SEARCH("hospital",B520))),"medical",
ISNUMBER(SEARCH("correct",B520)),"correctional",
ISNUMBER(SEARCH("process",B520)),"processing",
ISNUMBER(SEARCH("detention center",B520)),"detention",
ISNUMBER(SEARCH("detention fac",B520)),"detention",
ISNUMBER(SEARCH("staging",B520)),"staging",
ISNUMBER(SEARCH("prison",B520)),"prison",
ISNUMBER(SEARCH("penet",B520)),"prison",
ISNUMBER(SEARCH("jail",B520)),"jail",
ISNUMBER(SEARCH("detention",B520)),"detention",
ISNUMBER(SEARCH("sheriff",B520)),"sheriff/police",
ISNUMBER(SEARCH("police",B520)),"sheriff/police",
TRUE,""
)</f>
        <v>jail</v>
      </c>
      <c r="H520">
        <f>INDEX(Sheet2!B:B,MATCH(C520,Sheet2!A:A,0),1)</f>
        <v>6</v>
      </c>
      <c r="I520">
        <f>3-COUNTBLANK(D520:F520)</f>
        <v>2</v>
      </c>
      <c r="J520">
        <f>IF(I520&gt;=2,H520,0)</f>
        <v>6</v>
      </c>
    </row>
    <row r="521" spans="1:10" x14ac:dyDescent="0.3">
      <c r="A521" t="s">
        <v>1210</v>
      </c>
      <c r="B521" t="s">
        <v>139</v>
      </c>
      <c r="C521" t="s">
        <v>140</v>
      </c>
      <c r="D521" t="s">
        <v>35</v>
      </c>
      <c r="F521" t="s">
        <v>2304</v>
      </c>
      <c r="G521" t="str" cm="1">
        <f t="array" ref="G521">_xlfn.IFS(
ISNUMBER(SEARCH("hold",C521)),"hold",
ISNUMBER(SEARCH("youth",C521)),"youth",
ISNUMBER(SEARCH("juve",C521)),"youth",
OR(ISNUMBER(SEARCH("health",B521)),ISNUMBER(SEARCH("care ",B521)),ISNUMBER(SEARCH("psych",B521)),ISNUMBER(SEARCH("medical",B521)),ISNUMBER(SEARCH("hospital",B521))),"medical",
ISNUMBER(SEARCH("correct",B521)),"correctional",
ISNUMBER(SEARCH("process",B521)),"processing",
ISNUMBER(SEARCH("detention center",B521)),"detention",
ISNUMBER(SEARCH("detention fac",B521)),"detention",
ISNUMBER(SEARCH("staging",B521)),"staging",
ISNUMBER(SEARCH("prison",B521)),"prison",
ISNUMBER(SEARCH("penet",B521)),"prison",
ISNUMBER(SEARCH("jail",B521)),"jail",
ISNUMBER(SEARCH("detention",B521)),"detention",
ISNUMBER(SEARCH("sheriff",B521)),"sheriff/police",
ISNUMBER(SEARCH("police",B521)),"sheriff/police",
TRUE,""
)</f>
        <v>detention</v>
      </c>
      <c r="H521">
        <f>INDEX(Sheet2!B:B,MATCH(C521,Sheet2!A:A,0),1)</f>
        <v>6</v>
      </c>
      <c r="I521">
        <f>3-COUNTBLANK(D521:F521)</f>
        <v>2</v>
      </c>
      <c r="J521">
        <f>IF(I521&gt;=2,H521,0)</f>
        <v>6</v>
      </c>
    </row>
    <row r="522" spans="1:10" x14ac:dyDescent="0.3">
      <c r="A522" t="s">
        <v>1213</v>
      </c>
      <c r="B522" t="s">
        <v>1002</v>
      </c>
      <c r="C522" t="s">
        <v>1003</v>
      </c>
      <c r="D522" t="s">
        <v>72</v>
      </c>
      <c r="G522" t="str" cm="1">
        <f t="array" ref="G522">_xlfn.IFS(
ISNUMBER(SEARCH("hold",C522)),"hold",
ISNUMBER(SEARCH("youth",C522)),"youth",
ISNUMBER(SEARCH("juve",C522)),"youth",
OR(ISNUMBER(SEARCH("health",B522)),ISNUMBER(SEARCH("care ",B522)),ISNUMBER(SEARCH("psych",B522)),ISNUMBER(SEARCH("medical",B522)),ISNUMBER(SEARCH("hospital",B522))),"medical",
ISNUMBER(SEARCH("correct",B522)),"correctional",
ISNUMBER(SEARCH("process",B522)),"processing",
ISNUMBER(SEARCH("detention center",B522)),"detention",
ISNUMBER(SEARCH("detention fac",B522)),"detention",
ISNUMBER(SEARCH("staging",B522)),"staging",
ISNUMBER(SEARCH("prison",B522)),"prison",
ISNUMBER(SEARCH("penet",B522)),"prison",
ISNUMBER(SEARCH("jail",B522)),"jail",
ISNUMBER(SEARCH("detention",B522)),"detention",
ISNUMBER(SEARCH("sheriff",B522)),"sheriff/police",
ISNUMBER(SEARCH("police",B522)),"sheriff/police",
TRUE,""
)</f>
        <v>medical</v>
      </c>
      <c r="H522">
        <f>INDEX(Sheet2!B:B,MATCH(C522,Sheet2!A:A,0),1)</f>
        <v>6</v>
      </c>
      <c r="I522">
        <f>3-COUNTBLANK(D522:F522)</f>
        <v>1</v>
      </c>
      <c r="J522">
        <f>IF(I522&gt;=2,H522,0)</f>
        <v>0</v>
      </c>
    </row>
    <row r="523" spans="1:10" x14ac:dyDescent="0.3">
      <c r="A523" t="s">
        <v>1215</v>
      </c>
      <c r="B523" t="s">
        <v>645</v>
      </c>
      <c r="C523" t="s">
        <v>646</v>
      </c>
      <c r="D523" t="s">
        <v>6</v>
      </c>
      <c r="F523" t="s">
        <v>2271</v>
      </c>
      <c r="G523" t="str" cm="1">
        <f t="array" ref="G523">_xlfn.IFS(
ISNUMBER(SEARCH("hold",C523)),"hold",
ISNUMBER(SEARCH("youth",C523)),"youth",
ISNUMBER(SEARCH("juve",C523)),"youth",
OR(ISNUMBER(SEARCH("health",B523)),ISNUMBER(SEARCH("care ",B523)),ISNUMBER(SEARCH("psych",B523)),ISNUMBER(SEARCH("medical",B523)),ISNUMBER(SEARCH("hospital",B523))),"medical",
ISNUMBER(SEARCH("correct",B523)),"correctional",
ISNUMBER(SEARCH("process",B523)),"processing",
ISNUMBER(SEARCH("detention center",B523)),"detention",
ISNUMBER(SEARCH("detention fac",B523)),"detention",
ISNUMBER(SEARCH("staging",B523)),"staging",
ISNUMBER(SEARCH("prison",B523)),"prison",
ISNUMBER(SEARCH("penet",B523)),"prison",
ISNUMBER(SEARCH("jail",B523)),"jail",
ISNUMBER(SEARCH("detention",B523)),"detention",
ISNUMBER(SEARCH("sheriff",B523)),"sheriff/police",
ISNUMBER(SEARCH("police",B523)),"sheriff/police",
TRUE,""
)</f>
        <v>jail</v>
      </c>
      <c r="H523">
        <f>INDEX(Sheet2!B:B,MATCH(C523,Sheet2!A:A,0),1)</f>
        <v>6</v>
      </c>
      <c r="I523">
        <f>3-COUNTBLANK(D523:F523)</f>
        <v>2</v>
      </c>
      <c r="J523">
        <f>IF(I523&gt;=2,H523,0)</f>
        <v>6</v>
      </c>
    </row>
    <row r="524" spans="1:10" x14ac:dyDescent="0.3">
      <c r="A524" t="s">
        <v>1218</v>
      </c>
      <c r="B524" t="s">
        <v>1106</v>
      </c>
      <c r="C524" t="s">
        <v>1107</v>
      </c>
      <c r="D524" t="s">
        <v>6</v>
      </c>
      <c r="F524" t="s">
        <v>2355</v>
      </c>
      <c r="G524" t="str" cm="1">
        <f t="array" ref="G524">_xlfn.IFS(
ISNUMBER(SEARCH("hold",C524)),"hold",
ISNUMBER(SEARCH("youth",C524)),"youth",
ISNUMBER(SEARCH("juve",C524)),"youth",
OR(ISNUMBER(SEARCH("health",B524)),ISNUMBER(SEARCH("care ",B524)),ISNUMBER(SEARCH("psych",B524)),ISNUMBER(SEARCH("medical",B524)),ISNUMBER(SEARCH("hospital",B524))),"medical",
ISNUMBER(SEARCH("correct",B524)),"correctional",
ISNUMBER(SEARCH("process",B524)),"processing",
ISNUMBER(SEARCH("detention center",B524)),"detention",
ISNUMBER(SEARCH("detention fac",B524)),"detention",
ISNUMBER(SEARCH("staging",B524)),"staging",
ISNUMBER(SEARCH("prison",B524)),"prison",
ISNUMBER(SEARCH("penet",B524)),"prison",
ISNUMBER(SEARCH("jail",B524)),"jail",
ISNUMBER(SEARCH("detention",B524)),"detention",
ISNUMBER(SEARCH("sheriff",B524)),"sheriff/police",
ISNUMBER(SEARCH("police",B524)),"sheriff/police",
TRUE,""
)</f>
        <v>jail</v>
      </c>
      <c r="H524">
        <f>INDEX(Sheet2!B:B,MATCH(C524,Sheet2!A:A,0),1)</f>
        <v>6</v>
      </c>
      <c r="I524">
        <f>3-COUNTBLANK(D524:F524)</f>
        <v>2</v>
      </c>
      <c r="J524">
        <f>IF(I524&gt;=2,H524,0)</f>
        <v>6</v>
      </c>
    </row>
    <row r="525" spans="1:10" x14ac:dyDescent="0.3">
      <c r="A525" t="s">
        <v>1221</v>
      </c>
      <c r="B525" t="s">
        <v>1330</v>
      </c>
      <c r="C525" t="s">
        <v>1331</v>
      </c>
      <c r="D525" t="s">
        <v>6</v>
      </c>
      <c r="F525" t="s">
        <v>2370</v>
      </c>
      <c r="G525" t="str" cm="1">
        <f t="array" ref="G525">_xlfn.IFS(
ISNUMBER(SEARCH("hold",C525)),"hold",
ISNUMBER(SEARCH("youth",C525)),"youth",
ISNUMBER(SEARCH("juve",C525)),"youth",
OR(ISNUMBER(SEARCH("health",B525)),ISNUMBER(SEARCH("care ",B525)),ISNUMBER(SEARCH("psych",B525)),ISNUMBER(SEARCH("medical",B525)),ISNUMBER(SEARCH("hospital",B525))),"medical",
ISNUMBER(SEARCH("correct",B525)),"correctional",
ISNUMBER(SEARCH("process",B525)),"processing",
ISNUMBER(SEARCH("detention center",B525)),"detention",
ISNUMBER(SEARCH("detention fac",B525)),"detention",
ISNUMBER(SEARCH("staging",B525)),"staging",
ISNUMBER(SEARCH("prison",B525)),"prison",
ISNUMBER(SEARCH("penet",B525)),"prison",
ISNUMBER(SEARCH("jail",B525)),"jail",
ISNUMBER(SEARCH("detention",B525)),"detention",
ISNUMBER(SEARCH("sheriff",B525)),"sheriff/police",
ISNUMBER(SEARCH("police",B525)),"sheriff/police",
TRUE,""
)</f>
        <v>jail</v>
      </c>
      <c r="H525">
        <f>INDEX(Sheet2!B:B,MATCH(C525,Sheet2!A:A,0),1)</f>
        <v>6</v>
      </c>
      <c r="I525">
        <f>3-COUNTBLANK(D525:F525)</f>
        <v>2</v>
      </c>
      <c r="J525">
        <f>IF(I525&gt;=2,H525,0)</f>
        <v>6</v>
      </c>
    </row>
    <row r="526" spans="1:10" x14ac:dyDescent="0.3">
      <c r="A526" t="s">
        <v>1224</v>
      </c>
      <c r="B526" t="s">
        <v>1416</v>
      </c>
      <c r="C526" t="s">
        <v>1417</v>
      </c>
      <c r="D526" t="s">
        <v>73</v>
      </c>
      <c r="F526" t="s">
        <v>2257</v>
      </c>
      <c r="G526" t="str" cm="1">
        <f t="array" ref="G526">_xlfn.IFS(
ISNUMBER(SEARCH("hold",C526)),"hold",
ISNUMBER(SEARCH("youth",C526)),"youth",
ISNUMBER(SEARCH("juve",C526)),"youth",
OR(ISNUMBER(SEARCH("health",B526)),ISNUMBER(SEARCH("care ",B526)),ISNUMBER(SEARCH("psych",B526)),ISNUMBER(SEARCH("medical",B526)),ISNUMBER(SEARCH("hospital",B526))),"medical",
ISNUMBER(SEARCH("correct",B526)),"correctional",
ISNUMBER(SEARCH("process",B526)),"processing",
ISNUMBER(SEARCH("detention center",B526)),"detention",
ISNUMBER(SEARCH("detention fac",B526)),"detention",
ISNUMBER(SEARCH("staging",B526)),"staging",
ISNUMBER(SEARCH("prison",B526)),"prison",
ISNUMBER(SEARCH("penet",B526)),"prison",
ISNUMBER(SEARCH("jail",B526)),"jail",
ISNUMBER(SEARCH("detention",B526)),"detention",
ISNUMBER(SEARCH("sheriff",B526)),"sheriff/police",
ISNUMBER(SEARCH("police",B526)),"sheriff/police",
TRUE,""
)</f>
        <v>jail</v>
      </c>
      <c r="H526">
        <f>INDEX(Sheet2!B:B,MATCH(C526,Sheet2!A:A,0),1)</f>
        <v>6</v>
      </c>
      <c r="I526">
        <f>3-COUNTBLANK(D526:F526)</f>
        <v>2</v>
      </c>
      <c r="J526">
        <f>IF(I526&gt;=2,H526,0)</f>
        <v>6</v>
      </c>
    </row>
    <row r="527" spans="1:10" x14ac:dyDescent="0.3">
      <c r="A527" t="s">
        <v>1227</v>
      </c>
      <c r="B527" t="s">
        <v>1568</v>
      </c>
      <c r="C527" t="s">
        <v>1569</v>
      </c>
      <c r="D527" t="s">
        <v>134</v>
      </c>
      <c r="F527" t="s">
        <v>2391</v>
      </c>
      <c r="G527" t="str" cm="1">
        <f t="array" ref="G527">_xlfn.IFS(
ISNUMBER(SEARCH("hold",C527)),"hold",
ISNUMBER(SEARCH("youth",C527)),"youth",
ISNUMBER(SEARCH("juve",C527)),"youth",
OR(ISNUMBER(SEARCH("health",B527)),ISNUMBER(SEARCH("care ",B527)),ISNUMBER(SEARCH("psych",B527)),ISNUMBER(SEARCH("medical",B527)),ISNUMBER(SEARCH("hospital",B527))),"medical",
ISNUMBER(SEARCH("correct",B527)),"correctional",
ISNUMBER(SEARCH("process",B527)),"processing",
ISNUMBER(SEARCH("detention center",B527)),"detention",
ISNUMBER(SEARCH("detention fac",B527)),"detention",
ISNUMBER(SEARCH("staging",B527)),"staging",
ISNUMBER(SEARCH("prison",B527)),"prison",
ISNUMBER(SEARCH("penet",B527)),"prison",
ISNUMBER(SEARCH("jail",B527)),"jail",
ISNUMBER(SEARCH("detention",B527)),"detention",
ISNUMBER(SEARCH("sheriff",B527)),"sheriff/police",
ISNUMBER(SEARCH("police",B527)),"sheriff/police",
TRUE,""
)</f>
        <v>jail</v>
      </c>
      <c r="H527">
        <f>INDEX(Sheet2!B:B,MATCH(C527,Sheet2!A:A,0),1)</f>
        <v>6</v>
      </c>
      <c r="I527">
        <f>3-COUNTBLANK(D527:F527)</f>
        <v>2</v>
      </c>
      <c r="J527">
        <f>IF(I527&gt;=2,H527,0)</f>
        <v>6</v>
      </c>
    </row>
    <row r="528" spans="1:10" x14ac:dyDescent="0.3">
      <c r="A528" t="s">
        <v>1230</v>
      </c>
      <c r="B528" t="s">
        <v>2410</v>
      </c>
      <c r="C528" t="s">
        <v>1316</v>
      </c>
      <c r="D528" t="s">
        <v>72</v>
      </c>
      <c r="G528" t="str" cm="1">
        <f t="array" ref="G528">_xlfn.IFS(
ISNUMBER(SEARCH("hold",C528)),"hold",
ISNUMBER(SEARCH("youth",C528)),"youth",
ISNUMBER(SEARCH("juve",C528)),"youth",
OR(ISNUMBER(SEARCH("health",B528)),ISNUMBER(SEARCH("care ",B528)),ISNUMBER(SEARCH("psych",B528)),ISNUMBER(SEARCH("medical",B528)),ISNUMBER(SEARCH("hospital",B528))),"medical",
ISNUMBER(SEARCH("correct",B528)),"correctional",
ISNUMBER(SEARCH("process",B528)),"processing",
ISNUMBER(SEARCH("detention center",B528)),"detention",
ISNUMBER(SEARCH("detention fac",B528)),"detention",
ISNUMBER(SEARCH("staging",B528)),"staging",
ISNUMBER(SEARCH("prison",B528)),"prison",
ISNUMBER(SEARCH("penet",B528)),"prison",
ISNUMBER(SEARCH("jail",B528)),"jail",
ISNUMBER(SEARCH("detention",B528)),"detention",
ISNUMBER(SEARCH("sheriff",B528)),"sheriff/police",
ISNUMBER(SEARCH("police",B528)),"sheriff/police",
TRUE,""
)</f>
        <v>medical</v>
      </c>
      <c r="H528">
        <f>INDEX(Sheet2!B:B,MATCH(C528,Sheet2!A:A,0),1)</f>
        <v>6</v>
      </c>
      <c r="I528">
        <f>3-COUNTBLANK(D528:F528)</f>
        <v>1</v>
      </c>
      <c r="J528">
        <f>IF(I528&gt;=2,H528,0)</f>
        <v>0</v>
      </c>
    </row>
    <row r="529" spans="1:10" x14ac:dyDescent="0.3">
      <c r="A529" t="s">
        <v>1233</v>
      </c>
      <c r="B529" t="s">
        <v>1425</v>
      </c>
      <c r="C529" t="s">
        <v>1426</v>
      </c>
      <c r="D529" t="s">
        <v>72</v>
      </c>
      <c r="G529" t="str" cm="1">
        <f t="array" ref="G529">_xlfn.IFS(
ISNUMBER(SEARCH("hold",C529)),"hold",
ISNUMBER(SEARCH("youth",C529)),"youth",
ISNUMBER(SEARCH("juve",C529)),"youth",
OR(ISNUMBER(SEARCH("health",B529)),ISNUMBER(SEARCH("care ",B529)),ISNUMBER(SEARCH("psych",B529)),ISNUMBER(SEARCH("medical",B529)),ISNUMBER(SEARCH("hospital",B529))),"medical",
ISNUMBER(SEARCH("correct",B529)),"correctional",
ISNUMBER(SEARCH("process",B529)),"processing",
ISNUMBER(SEARCH("detention center",B529)),"detention",
ISNUMBER(SEARCH("detention fac",B529)),"detention",
ISNUMBER(SEARCH("staging",B529)),"staging",
ISNUMBER(SEARCH("prison",B529)),"prison",
ISNUMBER(SEARCH("penet",B529)),"prison",
ISNUMBER(SEARCH("jail",B529)),"jail",
ISNUMBER(SEARCH("detention",B529)),"detention",
ISNUMBER(SEARCH("sheriff",B529)),"sheriff/police",
ISNUMBER(SEARCH("police",B529)),"sheriff/police",
TRUE,""
)</f>
        <v>medical</v>
      </c>
      <c r="H529">
        <f>INDEX(Sheet2!B:B,MATCH(C529,Sheet2!A:A,0),1)</f>
        <v>6</v>
      </c>
      <c r="I529">
        <f>3-COUNTBLANK(D529:F529)</f>
        <v>1</v>
      </c>
      <c r="J529">
        <f>IF(I529&gt;=2,H529,0)</f>
        <v>0</v>
      </c>
    </row>
    <row r="530" spans="1:10" x14ac:dyDescent="0.3">
      <c r="A530" t="s">
        <v>1235</v>
      </c>
      <c r="B530" t="s">
        <v>1440</v>
      </c>
      <c r="C530" t="s">
        <v>1441</v>
      </c>
      <c r="D530" t="s">
        <v>108</v>
      </c>
      <c r="G530" t="str" cm="1">
        <f t="array" ref="G530">_xlfn.IFS(
ISNUMBER(SEARCH("hold",C530)),"hold",
ISNUMBER(SEARCH("youth",C530)),"youth",
ISNUMBER(SEARCH("juve",C530)),"youth",
OR(ISNUMBER(SEARCH("health",B530)),ISNUMBER(SEARCH("care ",B530)),ISNUMBER(SEARCH("psych",B530)),ISNUMBER(SEARCH("medical",B530)),ISNUMBER(SEARCH("hospital",B530))),"medical",
ISNUMBER(SEARCH("correct",B530)),"correctional",
ISNUMBER(SEARCH("process",B530)),"processing",
ISNUMBER(SEARCH("detention center",B530)),"detention",
ISNUMBER(SEARCH("detention fac",B530)),"detention",
ISNUMBER(SEARCH("staging",B530)),"staging",
ISNUMBER(SEARCH("prison",B530)),"prison",
ISNUMBER(SEARCH("penet",B530)),"prison",
ISNUMBER(SEARCH("jail",B530)),"jail",
ISNUMBER(SEARCH("detention",B530)),"detention",
ISNUMBER(SEARCH("sheriff",B530)),"sheriff/police",
ISNUMBER(SEARCH("police",B530)),"sheriff/police",
TRUE,""
)</f>
        <v>medical</v>
      </c>
      <c r="H530">
        <f>INDEX(Sheet2!B:B,MATCH(C530,Sheet2!A:A,0),1)</f>
        <v>6</v>
      </c>
      <c r="I530">
        <f>3-COUNTBLANK(D530:F530)</f>
        <v>1</v>
      </c>
      <c r="J530">
        <f>IF(I530&gt;=2,H530,0)</f>
        <v>0</v>
      </c>
    </row>
    <row r="531" spans="1:10" x14ac:dyDescent="0.3">
      <c r="A531" t="s">
        <v>1238</v>
      </c>
      <c r="B531" t="s">
        <v>18</v>
      </c>
      <c r="C531" t="s">
        <v>19</v>
      </c>
      <c r="D531" t="s">
        <v>6</v>
      </c>
      <c r="F531" t="s">
        <v>16</v>
      </c>
      <c r="G531" t="str" cm="1">
        <f t="array" ref="G531">_xlfn.IFS(
ISNUMBER(SEARCH("hold",C531)),"hold",
ISNUMBER(SEARCH("youth",C531)),"youth",
ISNUMBER(SEARCH("juve",C531)),"youth",
OR(ISNUMBER(SEARCH("health",B531)),ISNUMBER(SEARCH("care ",B531)),ISNUMBER(SEARCH("psych",B531)),ISNUMBER(SEARCH("medical",B531)),ISNUMBER(SEARCH("hospital",B531))),"medical",
ISNUMBER(SEARCH("correct",B531)),"correctional",
ISNUMBER(SEARCH("process",B531)),"processing",
ISNUMBER(SEARCH("detention center",B531)),"detention",
ISNUMBER(SEARCH("detention fac",B531)),"detention",
ISNUMBER(SEARCH("staging",B531)),"staging",
ISNUMBER(SEARCH("prison",B531)),"prison",
ISNUMBER(SEARCH("penet",B531)),"prison",
ISNUMBER(SEARCH("jail",B531)),"jail",
ISNUMBER(SEARCH("detention",B531)),"detention",
ISNUMBER(SEARCH("sheriff",B531)),"sheriff/police",
ISNUMBER(SEARCH("police",B531)),"sheriff/police",
TRUE,""
)</f>
        <v>jail</v>
      </c>
      <c r="H531">
        <f>INDEX(Sheet2!B:B,MATCH(C531,Sheet2!A:A,0),1)</f>
        <v>5</v>
      </c>
      <c r="I531">
        <f>3-COUNTBLANK(D531:F531)</f>
        <v>2</v>
      </c>
      <c r="J531">
        <f>IF(I531&gt;=2,H531,0)</f>
        <v>5</v>
      </c>
    </row>
    <row r="532" spans="1:10" x14ac:dyDescent="0.3">
      <c r="A532" t="s">
        <v>1241</v>
      </c>
      <c r="B532" t="s">
        <v>418</v>
      </c>
      <c r="C532" t="s">
        <v>419</v>
      </c>
      <c r="D532" t="s">
        <v>72</v>
      </c>
      <c r="G532" t="str" cm="1">
        <f t="array" ref="G532">_xlfn.IFS(
ISNUMBER(SEARCH("hold",C532)),"hold",
ISNUMBER(SEARCH("youth",C532)),"youth",
ISNUMBER(SEARCH("juve",C532)),"youth",
OR(ISNUMBER(SEARCH("health",B532)),ISNUMBER(SEARCH("care ",B532)),ISNUMBER(SEARCH("psych",B532)),ISNUMBER(SEARCH("medical",B532)),ISNUMBER(SEARCH("hospital",B532))),"medical",
ISNUMBER(SEARCH("correct",B532)),"correctional",
ISNUMBER(SEARCH("process",B532)),"processing",
ISNUMBER(SEARCH("detention center",B532)),"detention",
ISNUMBER(SEARCH("detention fac",B532)),"detention",
ISNUMBER(SEARCH("staging",B532)),"staging",
ISNUMBER(SEARCH("prison",B532)),"prison",
ISNUMBER(SEARCH("penet",B532)),"prison",
ISNUMBER(SEARCH("jail",B532)),"jail",
ISNUMBER(SEARCH("detention",B532)),"detention",
ISNUMBER(SEARCH("sheriff",B532)),"sheriff/police",
ISNUMBER(SEARCH("police",B532)),"sheriff/police",
TRUE,""
)</f>
        <v>medical</v>
      </c>
      <c r="H532">
        <f>INDEX(Sheet2!B:B,MATCH(C532,Sheet2!A:A,0),1)</f>
        <v>5</v>
      </c>
      <c r="I532">
        <f>3-COUNTBLANK(D532:F532)</f>
        <v>1</v>
      </c>
      <c r="J532">
        <f>IF(I532&gt;=2,H532,0)</f>
        <v>0</v>
      </c>
    </row>
    <row r="533" spans="1:10" x14ac:dyDescent="0.3">
      <c r="A533" t="s">
        <v>1244</v>
      </c>
      <c r="B533" t="s">
        <v>1865</v>
      </c>
      <c r="C533" t="s">
        <v>1866</v>
      </c>
      <c r="D533" t="s">
        <v>6</v>
      </c>
      <c r="F533" t="s">
        <v>2292</v>
      </c>
      <c r="G533" t="str" cm="1">
        <f t="array" ref="G533">_xlfn.IFS(
ISNUMBER(SEARCH("hold",C533)),"hold",
ISNUMBER(SEARCH("youth",C533)),"youth",
ISNUMBER(SEARCH("juve",C533)),"youth",
OR(ISNUMBER(SEARCH("health",B533)),ISNUMBER(SEARCH("care ",B533)),ISNUMBER(SEARCH("psych",B533)),ISNUMBER(SEARCH("medical",B533)),ISNUMBER(SEARCH("hospital",B533))),"medical",
ISNUMBER(SEARCH("correct",B533)),"correctional",
ISNUMBER(SEARCH("process",B533)),"processing",
ISNUMBER(SEARCH("detention center",B533)),"detention",
ISNUMBER(SEARCH("detention fac",B533)),"detention",
ISNUMBER(SEARCH("staging",B533)),"staging",
ISNUMBER(SEARCH("prison",B533)),"prison",
ISNUMBER(SEARCH("penet",B533)),"prison",
ISNUMBER(SEARCH("jail",B533)),"jail",
ISNUMBER(SEARCH("detention",B533)),"detention",
ISNUMBER(SEARCH("sheriff",B533)),"sheriff/police",
ISNUMBER(SEARCH("police",B533)),"sheriff/police",
TRUE,""
)</f>
        <v>jail</v>
      </c>
      <c r="H533">
        <f>INDEX(Sheet2!B:B,MATCH(C533,Sheet2!A:A,0),1)</f>
        <v>5</v>
      </c>
      <c r="I533">
        <f>3-COUNTBLANK(D533:F533)</f>
        <v>2</v>
      </c>
      <c r="J533">
        <f>IF(I533&gt;=2,H533,0)</f>
        <v>5</v>
      </c>
    </row>
    <row r="534" spans="1:10" x14ac:dyDescent="0.3">
      <c r="A534" t="s">
        <v>1247</v>
      </c>
      <c r="B534" t="s">
        <v>604</v>
      </c>
      <c r="C534" t="s">
        <v>605</v>
      </c>
      <c r="D534" t="s">
        <v>112</v>
      </c>
      <c r="G534" t="str" cm="1">
        <f t="array" ref="G534">_xlfn.IFS(
ISNUMBER(SEARCH("hold",C534)),"hold",
ISNUMBER(SEARCH("youth",C534)),"youth",
ISNUMBER(SEARCH("juve",C534)),"youth",
OR(ISNUMBER(SEARCH("health",B534)),ISNUMBER(SEARCH("care ",B534)),ISNUMBER(SEARCH("psych",B534)),ISNUMBER(SEARCH("medical",B534)),ISNUMBER(SEARCH("hospital",B534))),"medical",
ISNUMBER(SEARCH("correct",B534)),"correctional",
ISNUMBER(SEARCH("process",B534)),"processing",
ISNUMBER(SEARCH("detention center",B534)),"detention",
ISNUMBER(SEARCH("detention fac",B534)),"detention",
ISNUMBER(SEARCH("staging",B534)),"staging",
ISNUMBER(SEARCH("prison",B534)),"prison",
ISNUMBER(SEARCH("penet",B534)),"prison",
ISNUMBER(SEARCH("jail",B534)),"jail",
ISNUMBER(SEARCH("detention",B534)),"detention",
ISNUMBER(SEARCH("sheriff",B534)),"sheriff/police",
ISNUMBER(SEARCH("police",B534)),"sheriff/police",
TRUE,""
)</f>
        <v>medical</v>
      </c>
      <c r="H534">
        <f>INDEX(Sheet2!B:B,MATCH(C534,Sheet2!A:A,0),1)</f>
        <v>5</v>
      </c>
      <c r="I534">
        <f>3-COUNTBLANK(D534:F534)</f>
        <v>1</v>
      </c>
      <c r="J534">
        <f>IF(I534&gt;=2,H534,0)</f>
        <v>0</v>
      </c>
    </row>
    <row r="535" spans="1:10" x14ac:dyDescent="0.3">
      <c r="A535" t="s">
        <v>2002</v>
      </c>
      <c r="B535" t="s">
        <v>1346</v>
      </c>
      <c r="C535" t="s">
        <v>1347</v>
      </c>
      <c r="D535" t="s">
        <v>87</v>
      </c>
      <c r="F535" t="s">
        <v>2323</v>
      </c>
      <c r="G535" t="str" cm="1">
        <f t="array" ref="G535">_xlfn.IFS(
ISNUMBER(SEARCH("hold",C535)),"hold",
ISNUMBER(SEARCH("youth",C535)),"youth",
ISNUMBER(SEARCH("juve",C535)),"youth",
OR(ISNUMBER(SEARCH("health",B535)),ISNUMBER(SEARCH("care ",B535)),ISNUMBER(SEARCH("psych",B535)),ISNUMBER(SEARCH("medical",B535)),ISNUMBER(SEARCH("hospital",B535))),"medical",
ISNUMBER(SEARCH("correct",B535)),"correctional",
ISNUMBER(SEARCH("process",B535)),"processing",
ISNUMBER(SEARCH("detention center",B535)),"detention",
ISNUMBER(SEARCH("detention fac",B535)),"detention",
ISNUMBER(SEARCH("staging",B535)),"staging",
ISNUMBER(SEARCH("prison",B535)),"prison",
ISNUMBER(SEARCH("penet",B535)),"prison",
ISNUMBER(SEARCH("jail",B535)),"jail",
ISNUMBER(SEARCH("detention",B535)),"detention",
ISNUMBER(SEARCH("sheriff",B535)),"sheriff/police",
ISNUMBER(SEARCH("police",B535)),"sheriff/police",
TRUE,""
)</f>
        <v>jail</v>
      </c>
      <c r="H535">
        <f>INDEX(Sheet2!B:B,MATCH(C535,Sheet2!A:A,0),1)</f>
        <v>5</v>
      </c>
      <c r="I535">
        <f>3-COUNTBLANK(D535:F535)</f>
        <v>2</v>
      </c>
      <c r="J535">
        <f>IF(I535&gt;=2,H535,0)</f>
        <v>5</v>
      </c>
    </row>
    <row r="536" spans="1:10" x14ac:dyDescent="0.3">
      <c r="A536" t="s">
        <v>1250</v>
      </c>
      <c r="B536" t="s">
        <v>2558</v>
      </c>
      <c r="C536" t="s">
        <v>1089</v>
      </c>
      <c r="D536" t="s">
        <v>152</v>
      </c>
      <c r="G536" t="str" cm="1">
        <f t="array" ref="G536">_xlfn.IFS(
ISNUMBER(SEARCH("hold",C536)),"hold",
ISNUMBER(SEARCH("youth",C536)),"youth",
ISNUMBER(SEARCH("juve",C536)),"youth",
OR(ISNUMBER(SEARCH("health",B536)),ISNUMBER(SEARCH("care ",B536)),ISNUMBER(SEARCH("psych",B536)),ISNUMBER(SEARCH("medical",B536)),ISNUMBER(SEARCH("hospital",B536))),"medical",
ISNUMBER(SEARCH("correct",B536)),"correctional",
ISNUMBER(SEARCH("process",B536)),"processing",
ISNUMBER(SEARCH("detention center",B536)),"detention",
ISNUMBER(SEARCH("detention fac",B536)),"detention",
ISNUMBER(SEARCH("staging",B536)),"staging",
ISNUMBER(SEARCH("prison",B536)),"prison",
ISNUMBER(SEARCH("penet",B536)),"prison",
ISNUMBER(SEARCH("jail",B536)),"jail",
ISNUMBER(SEARCH("detention",B536)),"detention",
ISNUMBER(SEARCH("sheriff",B536)),"sheriff/police",
ISNUMBER(SEARCH("police",B536)),"sheriff/police",
TRUE,""
)</f>
        <v>medical</v>
      </c>
      <c r="H536">
        <f>INDEX(Sheet2!B:B,MATCH(C536,Sheet2!A:A,0),1)</f>
        <v>5</v>
      </c>
      <c r="I536">
        <f>3-COUNTBLANK(D536:F536)</f>
        <v>1</v>
      </c>
      <c r="J536">
        <f>IF(I536&gt;=2,H536,0)</f>
        <v>0</v>
      </c>
    </row>
    <row r="537" spans="1:10" x14ac:dyDescent="0.3">
      <c r="A537" t="s">
        <v>1253</v>
      </c>
      <c r="B537" t="s">
        <v>696</v>
      </c>
      <c r="C537" t="s">
        <v>697</v>
      </c>
      <c r="D537" t="s">
        <v>72</v>
      </c>
      <c r="E537" t="s">
        <v>2498</v>
      </c>
      <c r="G537" t="str" cm="1">
        <f t="array" ref="G537">_xlfn.IFS(
ISNUMBER(SEARCH("hold",C537)),"hold",
ISNUMBER(SEARCH("youth",C537)),"youth",
ISNUMBER(SEARCH("juve",C537)),"youth",
OR(ISNUMBER(SEARCH("health",B537)),ISNUMBER(SEARCH("care ",B537)),ISNUMBER(SEARCH("psych",B537)),ISNUMBER(SEARCH("medical",B537)),ISNUMBER(SEARCH("hospital",B537))),"medical",
ISNUMBER(SEARCH("correct",B537)),"correctional",
ISNUMBER(SEARCH("process",B537)),"processing",
ISNUMBER(SEARCH("detention center",B537)),"detention",
ISNUMBER(SEARCH("detention fac",B537)),"detention",
ISNUMBER(SEARCH("staging",B537)),"staging",
ISNUMBER(SEARCH("prison",B537)),"prison",
ISNUMBER(SEARCH("penet",B537)),"prison",
ISNUMBER(SEARCH("jail",B537)),"jail",
ISNUMBER(SEARCH("detention",B537)),"detention",
ISNUMBER(SEARCH("sheriff",B537)),"sheriff/police",
ISNUMBER(SEARCH("police",B537)),"sheriff/police",
TRUE,""
)</f>
        <v>hold</v>
      </c>
      <c r="H537">
        <f>INDEX(Sheet2!B:B,MATCH(C537,Sheet2!A:A,0),1)</f>
        <v>4</v>
      </c>
      <c r="I537">
        <f>3-COUNTBLANK(D537:F537)</f>
        <v>2</v>
      </c>
      <c r="J537">
        <f>IF(I537&gt;=2,H537,0)</f>
        <v>4</v>
      </c>
    </row>
    <row r="538" spans="1:10" x14ac:dyDescent="0.3">
      <c r="A538" t="s">
        <v>594</v>
      </c>
      <c r="B538" t="s">
        <v>728</v>
      </c>
      <c r="C538" t="s">
        <v>729</v>
      </c>
      <c r="D538" t="s">
        <v>6</v>
      </c>
      <c r="F538" t="s">
        <v>2327</v>
      </c>
      <c r="G538" t="str" cm="1">
        <f t="array" ref="G538">_xlfn.IFS(
ISNUMBER(SEARCH("hold",C538)),"hold",
ISNUMBER(SEARCH("youth",C538)),"youth",
ISNUMBER(SEARCH("juve",C538)),"youth",
OR(ISNUMBER(SEARCH("health",B538)),ISNUMBER(SEARCH("care ",B538)),ISNUMBER(SEARCH("psych",B538)),ISNUMBER(SEARCH("medical",B538)),ISNUMBER(SEARCH("hospital",B538))),"medical",
ISNUMBER(SEARCH("correct",B538)),"correctional",
ISNUMBER(SEARCH("process",B538)),"processing",
ISNUMBER(SEARCH("detention center",B538)),"detention",
ISNUMBER(SEARCH("detention fac",B538)),"detention",
ISNUMBER(SEARCH("staging",B538)),"staging",
ISNUMBER(SEARCH("prison",B538)),"prison",
ISNUMBER(SEARCH("penet",B538)),"prison",
ISNUMBER(SEARCH("jail",B538)),"jail",
ISNUMBER(SEARCH("detention",B538)),"detention",
ISNUMBER(SEARCH("sheriff",B538)),"sheriff/police",
ISNUMBER(SEARCH("police",B538)),"sheriff/police",
TRUE,""
)</f>
        <v>detention</v>
      </c>
      <c r="H538">
        <f>INDEX(Sheet2!B:B,MATCH(C538,Sheet2!A:A,0),1)</f>
        <v>284</v>
      </c>
      <c r="I538">
        <f>3-COUNTBLANK(D538:F538)</f>
        <v>2</v>
      </c>
      <c r="J538">
        <f>IF(I538&gt;=2,H538,0)</f>
        <v>284</v>
      </c>
    </row>
    <row r="539" spans="1:10" x14ac:dyDescent="0.3">
      <c r="A539" t="s">
        <v>1258</v>
      </c>
      <c r="B539" t="s">
        <v>1685</v>
      </c>
      <c r="C539" t="s">
        <v>1686</v>
      </c>
      <c r="D539" t="s">
        <v>23</v>
      </c>
      <c r="G539" t="str" cm="1">
        <f t="array" ref="G539">_xlfn.IFS(
ISNUMBER(SEARCH("hold",C539)),"hold",
ISNUMBER(SEARCH("youth",C539)),"youth",
ISNUMBER(SEARCH("juve",C539)),"youth",
OR(ISNUMBER(SEARCH("health",B539)),ISNUMBER(SEARCH("care ",B539)),ISNUMBER(SEARCH("psych",B539)),ISNUMBER(SEARCH("medical",B539)),ISNUMBER(SEARCH("hospital",B539))),"medical",
ISNUMBER(SEARCH("correct",B539)),"correctional",
ISNUMBER(SEARCH("process",B539)),"processing",
ISNUMBER(SEARCH("detention center",B539)),"detention",
ISNUMBER(SEARCH("detention fac",B539)),"detention",
ISNUMBER(SEARCH("staging",B539)),"staging",
ISNUMBER(SEARCH("prison",B539)),"prison",
ISNUMBER(SEARCH("penet",B539)),"prison",
ISNUMBER(SEARCH("jail",B539)),"jail",
ISNUMBER(SEARCH("detention",B539)),"detention",
ISNUMBER(SEARCH("sheriff",B539)),"sheriff/police",
ISNUMBER(SEARCH("police",B539)),"sheriff/police",
TRUE,""
)</f>
        <v>medical</v>
      </c>
      <c r="H539">
        <f>INDEX(Sheet2!B:B,MATCH(C539,Sheet2!A:A,0),1)</f>
        <v>4</v>
      </c>
      <c r="I539">
        <f>3-COUNTBLANK(D539:F539)</f>
        <v>1</v>
      </c>
      <c r="J539">
        <f>IF(I539&gt;=2,H539,0)</f>
        <v>0</v>
      </c>
    </row>
    <row r="540" spans="1:10" x14ac:dyDescent="0.3">
      <c r="A540" t="s">
        <v>1261</v>
      </c>
      <c r="B540" t="s">
        <v>337</v>
      </c>
      <c r="C540" t="s">
        <v>338</v>
      </c>
      <c r="D540" t="s">
        <v>134</v>
      </c>
      <c r="F540" t="s">
        <v>2316</v>
      </c>
      <c r="G540" t="str" cm="1">
        <f t="array" ref="G540">_xlfn.IFS(
ISNUMBER(SEARCH("hold",C540)),"hold",
ISNUMBER(SEARCH("youth",C540)),"youth",
ISNUMBER(SEARCH("juve",C540)),"youth",
OR(ISNUMBER(SEARCH("health",B540)),ISNUMBER(SEARCH("care ",B540)),ISNUMBER(SEARCH("psych",B540)),ISNUMBER(SEARCH("medical",B540)),ISNUMBER(SEARCH("hospital",B540))),"medical",
ISNUMBER(SEARCH("correct",B540)),"correctional",
ISNUMBER(SEARCH("process",B540)),"processing",
ISNUMBER(SEARCH("detention center",B540)),"detention",
ISNUMBER(SEARCH("detention fac",B540)),"detention",
ISNUMBER(SEARCH("staging",B540)),"staging",
ISNUMBER(SEARCH("prison",B540)),"prison",
ISNUMBER(SEARCH("penet",B540)),"prison",
ISNUMBER(SEARCH("jail",B540)),"jail",
ISNUMBER(SEARCH("detention",B540)),"detention",
ISNUMBER(SEARCH("sheriff",B540)),"sheriff/police",
ISNUMBER(SEARCH("police",B540)),"sheriff/police",
TRUE,""
)</f>
        <v>jail</v>
      </c>
      <c r="H540">
        <f>INDEX(Sheet2!B:B,MATCH(C540,Sheet2!A:A,0),1)</f>
        <v>4</v>
      </c>
      <c r="I540">
        <f>3-COUNTBLANK(D540:F540)</f>
        <v>2</v>
      </c>
      <c r="J540">
        <f>IF(I540&gt;=2,H540,0)</f>
        <v>4</v>
      </c>
    </row>
    <row r="541" spans="1:10" x14ac:dyDescent="0.3">
      <c r="A541" t="s">
        <v>1264</v>
      </c>
      <c r="B541" t="s">
        <v>915</v>
      </c>
      <c r="C541" t="s">
        <v>916</v>
      </c>
      <c r="D541" t="s">
        <v>50</v>
      </c>
      <c r="F541" t="s">
        <v>2252</v>
      </c>
      <c r="G541" t="str" cm="1">
        <f t="array" ref="G541">_xlfn.IFS(
ISNUMBER(SEARCH("hold",C541)),"hold",
ISNUMBER(SEARCH("youth",C541)),"youth",
ISNUMBER(SEARCH("juve",C541)),"youth",
OR(ISNUMBER(SEARCH("health",B541)),ISNUMBER(SEARCH("care ",B541)),ISNUMBER(SEARCH("psych",B541)),ISNUMBER(SEARCH("medical",B541)),ISNUMBER(SEARCH("hospital",B541))),"medical",
ISNUMBER(SEARCH("correct",B541)),"correctional",
ISNUMBER(SEARCH("process",B541)),"processing",
ISNUMBER(SEARCH("detention center",B541)),"detention",
ISNUMBER(SEARCH("detention fac",B541)),"detention",
ISNUMBER(SEARCH("staging",B541)),"staging",
ISNUMBER(SEARCH("prison",B541)),"prison",
ISNUMBER(SEARCH("penet",B541)),"prison",
ISNUMBER(SEARCH("jail",B541)),"jail",
ISNUMBER(SEARCH("detention",B541)),"detention",
ISNUMBER(SEARCH("sheriff",B541)),"sheriff/police",
ISNUMBER(SEARCH("police",B541)),"sheriff/police",
TRUE,""
)</f>
        <v>jail</v>
      </c>
      <c r="H541">
        <f>INDEX(Sheet2!B:B,MATCH(C541,Sheet2!A:A,0),1)</f>
        <v>4</v>
      </c>
      <c r="I541">
        <f>3-COUNTBLANK(D541:F541)</f>
        <v>2</v>
      </c>
      <c r="J541">
        <f>IF(I541&gt;=2,H541,0)</f>
        <v>4</v>
      </c>
    </row>
    <row r="542" spans="1:10" x14ac:dyDescent="0.3">
      <c r="A542" t="s">
        <v>1483</v>
      </c>
      <c r="B542" t="s">
        <v>759</v>
      </c>
      <c r="C542" t="s">
        <v>760</v>
      </c>
      <c r="D542" t="s">
        <v>78</v>
      </c>
      <c r="F542" t="s">
        <v>761</v>
      </c>
      <c r="G542" t="str" cm="1">
        <f t="array" ref="G542">_xlfn.IFS(
ISNUMBER(SEARCH("hold",C542)),"hold",
ISNUMBER(SEARCH("youth",C542)),"youth",
ISNUMBER(SEARCH("juve",C542)),"youth",
OR(ISNUMBER(SEARCH("health",B542)),ISNUMBER(SEARCH("care ",B542)),ISNUMBER(SEARCH("psych",B542)),ISNUMBER(SEARCH("medical",B542)),ISNUMBER(SEARCH("hospital",B542))),"medical",
ISNUMBER(SEARCH("correct",B542)),"correctional",
ISNUMBER(SEARCH("process",B542)),"processing",
ISNUMBER(SEARCH("detention center",B542)),"detention",
ISNUMBER(SEARCH("detention fac",B542)),"detention",
ISNUMBER(SEARCH("staging",B542)),"staging",
ISNUMBER(SEARCH("prison",B542)),"prison",
ISNUMBER(SEARCH("penet",B542)),"prison",
ISNUMBER(SEARCH("jail",B542)),"jail",
ISNUMBER(SEARCH("detention",B542)),"detention",
ISNUMBER(SEARCH("sheriff",B542)),"sheriff/police",
ISNUMBER(SEARCH("police",B542)),"sheriff/police",
TRUE,""
)</f>
        <v>sheriff/police</v>
      </c>
      <c r="H542">
        <f>INDEX(Sheet2!B:B,MATCH(C542,Sheet2!A:A,0),1)</f>
        <v>1</v>
      </c>
      <c r="I542">
        <f>3-COUNTBLANK(D542:F542)</f>
        <v>2</v>
      </c>
      <c r="J542">
        <f>IF(I542&gt;=2,H542,0)</f>
        <v>1</v>
      </c>
    </row>
    <row r="543" spans="1:10" x14ac:dyDescent="0.3">
      <c r="A543" t="s">
        <v>1270</v>
      </c>
      <c r="B543" t="s">
        <v>1029</v>
      </c>
      <c r="C543" t="s">
        <v>1030</v>
      </c>
      <c r="G543" t="str" cm="1">
        <f t="array" ref="G543">_xlfn.IFS(
ISNUMBER(SEARCH("hold",C543)),"hold",
ISNUMBER(SEARCH("youth",C543)),"youth",
ISNUMBER(SEARCH("juve",C543)),"youth",
OR(ISNUMBER(SEARCH("health",B543)),ISNUMBER(SEARCH("care ",B543)),ISNUMBER(SEARCH("psych",B543)),ISNUMBER(SEARCH("medical",B543)),ISNUMBER(SEARCH("hospital",B543))),"medical",
ISNUMBER(SEARCH("correct",B543)),"correctional",
ISNUMBER(SEARCH("process",B543)),"processing",
ISNUMBER(SEARCH("detention center",B543)),"detention",
ISNUMBER(SEARCH("detention fac",B543)),"detention",
ISNUMBER(SEARCH("staging",B543)),"staging",
ISNUMBER(SEARCH("prison",B543)),"prison",
ISNUMBER(SEARCH("penet",B543)),"prison",
ISNUMBER(SEARCH("jail",B543)),"jail",
ISNUMBER(SEARCH("detention",B543)),"detention",
ISNUMBER(SEARCH("sheriff",B543)),"sheriff/police",
ISNUMBER(SEARCH("police",B543)),"sheriff/police",
TRUE,""
)</f>
        <v>correctional</v>
      </c>
      <c r="H543">
        <f>INDEX(Sheet2!B:B,MATCH(C543,Sheet2!A:A,0),1)</f>
        <v>4</v>
      </c>
      <c r="I543">
        <f>3-COUNTBLANK(D543:F543)</f>
        <v>0</v>
      </c>
      <c r="J543">
        <f>IF(I543&gt;=2,H543,0)</f>
        <v>0</v>
      </c>
    </row>
    <row r="544" spans="1:10" x14ac:dyDescent="0.3">
      <c r="A544" t="s">
        <v>1273</v>
      </c>
      <c r="B544" t="s">
        <v>1976</v>
      </c>
      <c r="C544" t="s">
        <v>1947</v>
      </c>
      <c r="D544" t="s">
        <v>59</v>
      </c>
      <c r="F544" t="s">
        <v>2397</v>
      </c>
      <c r="G544" t="str" cm="1">
        <f t="array" ref="G544">_xlfn.IFS(
ISNUMBER(SEARCH("hold",C544)),"hold",
ISNUMBER(SEARCH("youth",C544)),"youth",
ISNUMBER(SEARCH("juve",C544)),"youth",
OR(ISNUMBER(SEARCH("health",B544)),ISNUMBER(SEARCH("care ",B544)),ISNUMBER(SEARCH("psych",B544)),ISNUMBER(SEARCH("medical",B544)),ISNUMBER(SEARCH("hospital",B544))),"medical",
ISNUMBER(SEARCH("correct",B544)),"correctional",
ISNUMBER(SEARCH("process",B544)),"processing",
ISNUMBER(SEARCH("detention center",B544)),"detention",
ISNUMBER(SEARCH("detention fac",B544)),"detention",
ISNUMBER(SEARCH("staging",B544)),"staging",
ISNUMBER(SEARCH("prison",B544)),"prison",
ISNUMBER(SEARCH("penet",B544)),"prison",
ISNUMBER(SEARCH("jail",B544)),"jail",
ISNUMBER(SEARCH("detention",B544)),"detention",
ISNUMBER(SEARCH("sheriff",B544)),"sheriff/police",
ISNUMBER(SEARCH("police",B544)),"sheriff/police",
TRUE,""
)</f>
        <v>jail</v>
      </c>
      <c r="H544">
        <f>INDEX(Sheet2!B:B,MATCH(C544,Sheet2!A:A,0),1)</f>
        <v>4</v>
      </c>
      <c r="I544">
        <f>3-COUNTBLANK(D544:F544)</f>
        <v>2</v>
      </c>
      <c r="J544">
        <f>IF(I544&gt;=2,H544,0)</f>
        <v>4</v>
      </c>
    </row>
    <row r="545" spans="1:10" x14ac:dyDescent="0.3">
      <c r="A545" t="s">
        <v>1540</v>
      </c>
      <c r="B545" t="s">
        <v>725</v>
      </c>
      <c r="C545" t="s">
        <v>726</v>
      </c>
      <c r="D545" t="s">
        <v>38</v>
      </c>
      <c r="G545" t="str" cm="1">
        <f t="array" ref="G545">_xlfn.IFS(
ISNUMBER(SEARCH("hold",C545)),"hold",
ISNUMBER(SEARCH("youth",C545)),"youth",
ISNUMBER(SEARCH("juve",C545)),"youth",
OR(ISNUMBER(SEARCH("health",B545)),ISNUMBER(SEARCH("care ",B545)),ISNUMBER(SEARCH("psych",B545)),ISNUMBER(SEARCH("medical",B545)),ISNUMBER(SEARCH("hospital",B545))),"medical",
ISNUMBER(SEARCH("correct",B545)),"correctional",
ISNUMBER(SEARCH("process",B545)),"processing",
ISNUMBER(SEARCH("detention center",B545)),"detention",
ISNUMBER(SEARCH("detention fac",B545)),"detention",
ISNUMBER(SEARCH("staging",B545)),"staging",
ISNUMBER(SEARCH("prison",B545)),"prison",
ISNUMBER(SEARCH("penet",B545)),"prison",
ISNUMBER(SEARCH("jail",B545)),"jail",
ISNUMBER(SEARCH("detention",B545)),"detention",
ISNUMBER(SEARCH("sheriff",B545)),"sheriff/police",
ISNUMBER(SEARCH("police",B545)),"sheriff/police",
TRUE,""
)</f>
        <v/>
      </c>
      <c r="H545">
        <f>INDEX(Sheet2!B:B,MATCH(C545,Sheet2!A:A,0),1)</f>
        <v>1</v>
      </c>
      <c r="I545">
        <f>3-COUNTBLANK(D545:F545)</f>
        <v>1</v>
      </c>
      <c r="J545">
        <f>IF(I545&gt;=2,H545,0)</f>
        <v>0</v>
      </c>
    </row>
    <row r="546" spans="1:10" x14ac:dyDescent="0.3">
      <c r="A546" t="s">
        <v>1279</v>
      </c>
      <c r="B546" t="s">
        <v>1126</v>
      </c>
      <c r="C546" t="s">
        <v>1127</v>
      </c>
      <c r="D546" t="s">
        <v>72</v>
      </c>
      <c r="G546" t="str" cm="1">
        <f t="array" ref="G546">_xlfn.IFS(
ISNUMBER(SEARCH("hold",C546)),"hold",
ISNUMBER(SEARCH("youth",C546)),"youth",
ISNUMBER(SEARCH("juve",C546)),"youth",
OR(ISNUMBER(SEARCH("health",B546)),ISNUMBER(SEARCH("care ",B546)),ISNUMBER(SEARCH("psych",B546)),ISNUMBER(SEARCH("medical",B546)),ISNUMBER(SEARCH("hospital",B546))),"medical",
ISNUMBER(SEARCH("correct",B546)),"correctional",
ISNUMBER(SEARCH("process",B546)),"processing",
ISNUMBER(SEARCH("detention center",B546)),"detention",
ISNUMBER(SEARCH("detention fac",B546)),"detention",
ISNUMBER(SEARCH("staging",B546)),"staging",
ISNUMBER(SEARCH("prison",B546)),"prison",
ISNUMBER(SEARCH("penet",B546)),"prison",
ISNUMBER(SEARCH("jail",B546)),"jail",
ISNUMBER(SEARCH("detention",B546)),"detention",
ISNUMBER(SEARCH("sheriff",B546)),"sheriff/police",
ISNUMBER(SEARCH("police",B546)),"sheriff/police",
TRUE,""
)</f>
        <v>medical</v>
      </c>
      <c r="H546">
        <f>INDEX(Sheet2!B:B,MATCH(C546,Sheet2!A:A,0),1)</f>
        <v>4</v>
      </c>
      <c r="I546">
        <f>3-COUNTBLANK(D546:F546)</f>
        <v>1</v>
      </c>
      <c r="J546">
        <f>IF(I546&gt;=2,H546,0)</f>
        <v>0</v>
      </c>
    </row>
    <row r="547" spans="1:10" x14ac:dyDescent="0.3">
      <c r="A547" t="s">
        <v>209</v>
      </c>
      <c r="B547" t="s">
        <v>839</v>
      </c>
      <c r="C547" t="s">
        <v>840</v>
      </c>
      <c r="D547" t="s">
        <v>116</v>
      </c>
      <c r="F547" t="s">
        <v>841</v>
      </c>
      <c r="G547" t="str" cm="1">
        <f t="array" ref="G547">_xlfn.IFS(
ISNUMBER(SEARCH("hold",C547)),"hold",
ISNUMBER(SEARCH("youth",C547)),"youth",
ISNUMBER(SEARCH("juve",C547)),"youth",
OR(ISNUMBER(SEARCH("health",B547)),ISNUMBER(SEARCH("care ",B547)),ISNUMBER(SEARCH("psych",B547)),ISNUMBER(SEARCH("medical",B547)),ISNUMBER(SEARCH("hospital",B547))),"medical",
ISNUMBER(SEARCH("correct",B547)),"correctional",
ISNUMBER(SEARCH("process",B547)),"processing",
ISNUMBER(SEARCH("detention center",B547)),"detention",
ISNUMBER(SEARCH("detention fac",B547)),"detention",
ISNUMBER(SEARCH("staging",B547)),"staging",
ISNUMBER(SEARCH("prison",B547)),"prison",
ISNUMBER(SEARCH("penet",B547)),"prison",
ISNUMBER(SEARCH("jail",B547)),"jail",
ISNUMBER(SEARCH("detention",B547)),"detention",
ISNUMBER(SEARCH("sheriff",B547)),"sheriff/police",
ISNUMBER(SEARCH("police",B547)),"sheriff/police",
TRUE,""
)</f>
        <v>detention</v>
      </c>
      <c r="H547">
        <f>INDEX(Sheet2!B:B,MATCH(C547,Sheet2!A:A,0),1)</f>
        <v>1218</v>
      </c>
      <c r="I547">
        <f>3-COUNTBLANK(D547:F547)</f>
        <v>2</v>
      </c>
      <c r="J547">
        <f>IF(I547&gt;=2,H547,0)</f>
        <v>1218</v>
      </c>
    </row>
    <row r="548" spans="1:10" x14ac:dyDescent="0.3">
      <c r="A548" t="s">
        <v>1285</v>
      </c>
      <c r="B548" t="s">
        <v>1251</v>
      </c>
      <c r="C548" t="s">
        <v>1252</v>
      </c>
      <c r="G548" t="str" cm="1">
        <f t="array" ref="G548">_xlfn.IFS(
ISNUMBER(SEARCH("hold",C548)),"hold",
ISNUMBER(SEARCH("youth",C548)),"youth",
ISNUMBER(SEARCH("juve",C548)),"youth",
OR(ISNUMBER(SEARCH("health",B548)),ISNUMBER(SEARCH("care ",B548)),ISNUMBER(SEARCH("psych",B548)),ISNUMBER(SEARCH("medical",B548)),ISNUMBER(SEARCH("hospital",B548))),"medical",
ISNUMBER(SEARCH("correct",B548)),"correctional",
ISNUMBER(SEARCH("process",B548)),"processing",
ISNUMBER(SEARCH("detention center",B548)),"detention",
ISNUMBER(SEARCH("detention fac",B548)),"detention",
ISNUMBER(SEARCH("staging",B548)),"staging",
ISNUMBER(SEARCH("prison",B548)),"prison",
ISNUMBER(SEARCH("penet",B548)),"prison",
ISNUMBER(SEARCH("jail",B548)),"jail",
ISNUMBER(SEARCH("detention",B548)),"detention",
ISNUMBER(SEARCH("sheriff",B548)),"sheriff/police",
ISNUMBER(SEARCH("police",B548)),"sheriff/police",
TRUE,""
)</f>
        <v>detention</v>
      </c>
      <c r="H548">
        <f>INDEX(Sheet2!B:B,MATCH(C548,Sheet2!A:A,0),1)</f>
        <v>3</v>
      </c>
      <c r="I548">
        <f>3-COUNTBLANK(D548:F548)</f>
        <v>0</v>
      </c>
      <c r="J548">
        <f>IF(I548&gt;=2,H548,0)</f>
        <v>0</v>
      </c>
    </row>
    <row r="549" spans="1:10" x14ac:dyDescent="0.3">
      <c r="A549" t="s">
        <v>1288</v>
      </c>
      <c r="B549" t="s">
        <v>2545</v>
      </c>
      <c r="C549" t="s">
        <v>1912</v>
      </c>
      <c r="D549" t="s">
        <v>152</v>
      </c>
      <c r="F549" t="s">
        <v>2260</v>
      </c>
      <c r="G549" t="str" cm="1">
        <f t="array" ref="G549">_xlfn.IFS(
ISNUMBER(SEARCH("hold",C549)),"hold",
ISNUMBER(SEARCH("youth",C549)),"youth",
ISNUMBER(SEARCH("juve",C549)),"youth",
OR(ISNUMBER(SEARCH("health",B549)),ISNUMBER(SEARCH("care ",B549)),ISNUMBER(SEARCH("psych",B549)),ISNUMBER(SEARCH("medical",B549)),ISNUMBER(SEARCH("hospital",B549))),"medical",
ISNUMBER(SEARCH("correct",B549)),"correctional",
ISNUMBER(SEARCH("process",B549)),"processing",
ISNUMBER(SEARCH("detention center",B549)),"detention",
ISNUMBER(SEARCH("detention fac",B549)),"detention",
ISNUMBER(SEARCH("staging",B549)),"staging",
ISNUMBER(SEARCH("prison",B549)),"prison",
ISNUMBER(SEARCH("penet",B549)),"prison",
ISNUMBER(SEARCH("jail",B549)),"jail",
ISNUMBER(SEARCH("detention",B549)),"detention",
ISNUMBER(SEARCH("sheriff",B549)),"sheriff/police",
ISNUMBER(SEARCH("police",B549)),"sheriff/police",
TRUE,""
)</f>
        <v>detention</v>
      </c>
      <c r="H549">
        <f>INDEX(Sheet2!B:B,MATCH(C549,Sheet2!A:A,0),1)</f>
        <v>3</v>
      </c>
      <c r="I549">
        <f>3-COUNTBLANK(D549:F549)</f>
        <v>2</v>
      </c>
      <c r="J549">
        <f>IF(I549&gt;=2,H549,0)</f>
        <v>3</v>
      </c>
    </row>
    <row r="550" spans="1:10" x14ac:dyDescent="0.3">
      <c r="A550" t="s">
        <v>1291</v>
      </c>
      <c r="B550" t="s">
        <v>48</v>
      </c>
      <c r="C550" t="s">
        <v>49</v>
      </c>
      <c r="D550" t="s">
        <v>50</v>
      </c>
      <c r="F550" t="s">
        <v>51</v>
      </c>
      <c r="G550" t="str" cm="1">
        <f t="array" ref="G550">_xlfn.IFS(
ISNUMBER(SEARCH("hold",C550)),"hold",
ISNUMBER(SEARCH("youth",C550)),"youth",
ISNUMBER(SEARCH("juve",C550)),"youth",
OR(ISNUMBER(SEARCH("health",B550)),ISNUMBER(SEARCH("care ",B550)),ISNUMBER(SEARCH("psych",B550)),ISNUMBER(SEARCH("medical",B550)),ISNUMBER(SEARCH("hospital",B550))),"medical",
ISNUMBER(SEARCH("correct",B550)),"correctional",
ISNUMBER(SEARCH("process",B550)),"processing",
ISNUMBER(SEARCH("detention center",B550)),"detention",
ISNUMBER(SEARCH("detention fac",B550)),"detention",
ISNUMBER(SEARCH("staging",B550)),"staging",
ISNUMBER(SEARCH("prison",B550)),"prison",
ISNUMBER(SEARCH("penet",B550)),"prison",
ISNUMBER(SEARCH("jail",B550)),"jail",
ISNUMBER(SEARCH("detention",B550)),"detention",
ISNUMBER(SEARCH("sheriff",B550)),"sheriff/police",
ISNUMBER(SEARCH("police",B550)),"sheriff/police",
TRUE,""
)</f>
        <v>detention</v>
      </c>
      <c r="H550">
        <f>INDEX(Sheet2!B:B,MATCH(C550,Sheet2!A:A,0),1)</f>
        <v>3</v>
      </c>
      <c r="I550">
        <f>3-COUNTBLANK(D550:F550)</f>
        <v>2</v>
      </c>
      <c r="J550">
        <f>IF(I550&gt;=2,H550,0)</f>
        <v>3</v>
      </c>
    </row>
    <row r="551" spans="1:10" x14ac:dyDescent="0.3">
      <c r="A551" t="s">
        <v>1295</v>
      </c>
      <c r="B551" t="s">
        <v>298</v>
      </c>
      <c r="C551" t="s">
        <v>299</v>
      </c>
      <c r="D551" t="s">
        <v>133</v>
      </c>
      <c r="F551" t="s">
        <v>300</v>
      </c>
      <c r="G551" t="str" cm="1">
        <f t="array" ref="G551">_xlfn.IFS(
ISNUMBER(SEARCH("hold",C551)),"hold",
ISNUMBER(SEARCH("youth",C551)),"youth",
ISNUMBER(SEARCH("juve",C551)),"youth",
OR(ISNUMBER(SEARCH("health",B551)),ISNUMBER(SEARCH("care ",B551)),ISNUMBER(SEARCH("psych",B551)),ISNUMBER(SEARCH("medical",B551)),ISNUMBER(SEARCH("hospital",B551))),"medical",
ISNUMBER(SEARCH("correct",B551)),"correctional",
ISNUMBER(SEARCH("process",B551)),"processing",
ISNUMBER(SEARCH("detention center",B551)),"detention",
ISNUMBER(SEARCH("detention fac",B551)),"detention",
ISNUMBER(SEARCH("staging",B551)),"staging",
ISNUMBER(SEARCH("prison",B551)),"prison",
ISNUMBER(SEARCH("penet",B551)),"prison",
ISNUMBER(SEARCH("jail",B551)),"jail",
ISNUMBER(SEARCH("detention",B551)),"detention",
ISNUMBER(SEARCH("sheriff",B551)),"sheriff/police",
ISNUMBER(SEARCH("police",B551)),"sheriff/police",
TRUE,""
)</f>
        <v>jail</v>
      </c>
      <c r="H551">
        <f>INDEX(Sheet2!B:B,MATCH(C551,Sheet2!A:A,0),1)</f>
        <v>3</v>
      </c>
      <c r="I551">
        <f>3-COUNTBLANK(D551:F551)</f>
        <v>2</v>
      </c>
      <c r="J551">
        <f>IF(I551&gt;=2,H551,0)</f>
        <v>3</v>
      </c>
    </row>
    <row r="552" spans="1:10" x14ac:dyDescent="0.3">
      <c r="A552" t="s">
        <v>1298</v>
      </c>
      <c r="B552" t="s">
        <v>499</v>
      </c>
      <c r="C552" t="s">
        <v>500</v>
      </c>
      <c r="D552" t="s">
        <v>95</v>
      </c>
      <c r="F552" t="s">
        <v>2298</v>
      </c>
      <c r="G552" t="str" cm="1">
        <f t="array" ref="G552">_xlfn.IFS(
ISNUMBER(SEARCH("hold",C552)),"hold",
ISNUMBER(SEARCH("youth",C552)),"youth",
ISNUMBER(SEARCH("juve",C552)),"youth",
OR(ISNUMBER(SEARCH("health",B552)),ISNUMBER(SEARCH("care ",B552)),ISNUMBER(SEARCH("psych",B552)),ISNUMBER(SEARCH("medical",B552)),ISNUMBER(SEARCH("hospital",B552))),"medical",
ISNUMBER(SEARCH("correct",B552)),"correctional",
ISNUMBER(SEARCH("process",B552)),"processing",
ISNUMBER(SEARCH("detention center",B552)),"detention",
ISNUMBER(SEARCH("detention fac",B552)),"detention",
ISNUMBER(SEARCH("staging",B552)),"staging",
ISNUMBER(SEARCH("prison",B552)),"prison",
ISNUMBER(SEARCH("penet",B552)),"prison",
ISNUMBER(SEARCH("jail",B552)),"jail",
ISNUMBER(SEARCH("detention",B552)),"detention",
ISNUMBER(SEARCH("sheriff",B552)),"sheriff/police",
ISNUMBER(SEARCH("police",B552)),"sheriff/police",
TRUE,""
)</f>
        <v>jail</v>
      </c>
      <c r="H552">
        <f>INDEX(Sheet2!B:B,MATCH(C552,Sheet2!A:A,0),1)</f>
        <v>3</v>
      </c>
      <c r="I552">
        <f>3-COUNTBLANK(D552:F552)</f>
        <v>2</v>
      </c>
      <c r="J552">
        <f>IF(I552&gt;=2,H552,0)</f>
        <v>3</v>
      </c>
    </row>
    <row r="553" spans="1:10" x14ac:dyDescent="0.3">
      <c r="A553" t="s">
        <v>1301</v>
      </c>
      <c r="B553" t="s">
        <v>687</v>
      </c>
      <c r="C553" t="s">
        <v>688</v>
      </c>
      <c r="D553" t="s">
        <v>31</v>
      </c>
      <c r="F553" t="s">
        <v>1294</v>
      </c>
      <c r="G553" t="str" cm="1">
        <f t="array" ref="G553">_xlfn.IFS(
ISNUMBER(SEARCH("hold",C553)),"hold",
ISNUMBER(SEARCH("youth",C553)),"youth",
ISNUMBER(SEARCH("juve",C553)),"youth",
OR(ISNUMBER(SEARCH("health",B553)),ISNUMBER(SEARCH("care ",B553)),ISNUMBER(SEARCH("psych",B553)),ISNUMBER(SEARCH("medical",B553)),ISNUMBER(SEARCH("hospital",B553))),"medical",
ISNUMBER(SEARCH("correct",B553)),"correctional",
ISNUMBER(SEARCH("process",B553)),"processing",
ISNUMBER(SEARCH("detention center",B553)),"detention",
ISNUMBER(SEARCH("detention fac",B553)),"detention",
ISNUMBER(SEARCH("staging",B553)),"staging",
ISNUMBER(SEARCH("prison",B553)),"prison",
ISNUMBER(SEARCH("penet",B553)),"prison",
ISNUMBER(SEARCH("jail",B553)),"jail",
ISNUMBER(SEARCH("detention",B553)),"detention",
ISNUMBER(SEARCH("sheriff",B553)),"sheriff/police",
ISNUMBER(SEARCH("police",B553)),"sheriff/police",
TRUE,""
)</f>
        <v>jail</v>
      </c>
      <c r="H553">
        <f>INDEX(Sheet2!B:B,MATCH(C553,Sheet2!A:A,0),1)</f>
        <v>3</v>
      </c>
      <c r="I553">
        <f>3-COUNTBLANK(D553:F553)</f>
        <v>2</v>
      </c>
      <c r="J553">
        <f>IF(I553&gt;=2,H553,0)</f>
        <v>3</v>
      </c>
    </row>
    <row r="554" spans="1:10" x14ac:dyDescent="0.3">
      <c r="A554" t="s">
        <v>1303</v>
      </c>
      <c r="B554" t="s">
        <v>1080</v>
      </c>
      <c r="C554" t="s">
        <v>1081</v>
      </c>
      <c r="D554" t="s">
        <v>72</v>
      </c>
      <c r="F554" t="s">
        <v>2353</v>
      </c>
      <c r="G554" t="str" cm="1">
        <f t="array" ref="G554">_xlfn.IFS(
ISNUMBER(SEARCH("hold",C554)),"hold",
ISNUMBER(SEARCH("youth",C554)),"youth",
ISNUMBER(SEARCH("juve",C554)),"youth",
OR(ISNUMBER(SEARCH("health",B554)),ISNUMBER(SEARCH("care ",B554)),ISNUMBER(SEARCH("psych",B554)),ISNUMBER(SEARCH("medical",B554)),ISNUMBER(SEARCH("hospital",B554))),"medical",
ISNUMBER(SEARCH("correct",B554)),"correctional",
ISNUMBER(SEARCH("process",B554)),"processing",
ISNUMBER(SEARCH("detention center",B554)),"detention",
ISNUMBER(SEARCH("detention fac",B554)),"detention",
ISNUMBER(SEARCH("staging",B554)),"staging",
ISNUMBER(SEARCH("prison",B554)),"prison",
ISNUMBER(SEARCH("penet",B554)),"prison",
ISNUMBER(SEARCH("jail",B554)),"jail",
ISNUMBER(SEARCH("detention",B554)),"detention",
ISNUMBER(SEARCH("sheriff",B554)),"sheriff/police",
ISNUMBER(SEARCH("police",B554)),"sheriff/police",
TRUE,""
)</f>
        <v>jail</v>
      </c>
      <c r="H554">
        <f>INDEX(Sheet2!B:B,MATCH(C554,Sheet2!A:A,0),1)</f>
        <v>3</v>
      </c>
      <c r="I554">
        <f>3-COUNTBLANK(D554:F554)</f>
        <v>2</v>
      </c>
      <c r="J554">
        <f>IF(I554&gt;=2,H554,0)</f>
        <v>3</v>
      </c>
    </row>
    <row r="555" spans="1:10" x14ac:dyDescent="0.3">
      <c r="A555" t="s">
        <v>1306</v>
      </c>
      <c r="B555" t="s">
        <v>836</v>
      </c>
      <c r="C555" t="s">
        <v>837</v>
      </c>
      <c r="D555" t="s">
        <v>35</v>
      </c>
      <c r="F555" t="s">
        <v>2362</v>
      </c>
      <c r="G555" t="str" cm="1">
        <f t="array" ref="G555">_xlfn.IFS(
ISNUMBER(SEARCH("hold",C555)),"hold",
ISNUMBER(SEARCH("youth",C555)),"youth",
ISNUMBER(SEARCH("juve",C555)),"youth",
OR(ISNUMBER(SEARCH("health",B555)),ISNUMBER(SEARCH("care ",B555)),ISNUMBER(SEARCH("psych",B555)),ISNUMBER(SEARCH("medical",B555)),ISNUMBER(SEARCH("hospital",B555))),"medical",
ISNUMBER(SEARCH("correct",B555)),"correctional",
ISNUMBER(SEARCH("process",B555)),"processing",
ISNUMBER(SEARCH("detention center",B555)),"detention",
ISNUMBER(SEARCH("detention fac",B555)),"detention",
ISNUMBER(SEARCH("staging",B555)),"staging",
ISNUMBER(SEARCH("prison",B555)),"prison",
ISNUMBER(SEARCH("penet",B555)),"prison",
ISNUMBER(SEARCH("jail",B555)),"jail",
ISNUMBER(SEARCH("detention",B555)),"detention",
ISNUMBER(SEARCH("sheriff",B555)),"sheriff/police",
ISNUMBER(SEARCH("police",B555)),"sheriff/police",
TRUE,""
)</f>
        <v>jail</v>
      </c>
      <c r="H555">
        <f>INDEX(Sheet2!B:B,MATCH(C555,Sheet2!A:A,0),1)</f>
        <v>3</v>
      </c>
      <c r="I555">
        <f>3-COUNTBLANK(D555:F555)</f>
        <v>2</v>
      </c>
      <c r="J555">
        <f>IF(I555&gt;=2,H555,0)</f>
        <v>3</v>
      </c>
    </row>
    <row r="556" spans="1:10" x14ac:dyDescent="0.3">
      <c r="A556" t="s">
        <v>624</v>
      </c>
      <c r="B556" t="s">
        <v>881</v>
      </c>
      <c r="C556" t="s">
        <v>882</v>
      </c>
      <c r="D556" t="s">
        <v>42</v>
      </c>
      <c r="F556" t="s">
        <v>2337</v>
      </c>
      <c r="G556" t="str" cm="1">
        <f t="array" ref="G556">_xlfn.IFS(
ISNUMBER(SEARCH("hold",C556)),"hold",
ISNUMBER(SEARCH("youth",C556)),"youth",
ISNUMBER(SEARCH("juve",C556)),"youth",
OR(ISNUMBER(SEARCH("health",B556)),ISNUMBER(SEARCH("care ",B556)),ISNUMBER(SEARCH("psych",B556)),ISNUMBER(SEARCH("medical",B556)),ISNUMBER(SEARCH("hospital",B556))),"medical",
ISNUMBER(SEARCH("correct",B556)),"correctional",
ISNUMBER(SEARCH("process",B556)),"processing",
ISNUMBER(SEARCH("detention center",B556)),"detention",
ISNUMBER(SEARCH("detention fac",B556)),"detention",
ISNUMBER(SEARCH("staging",B556)),"staging",
ISNUMBER(SEARCH("prison",B556)),"prison",
ISNUMBER(SEARCH("penet",B556)),"prison",
ISNUMBER(SEARCH("jail",B556)),"jail",
ISNUMBER(SEARCH("detention",B556)),"detention",
ISNUMBER(SEARCH("sheriff",B556)),"sheriff/police",
ISNUMBER(SEARCH("police",B556)),"sheriff/police",
TRUE,""
)</f>
        <v/>
      </c>
      <c r="H556">
        <f>INDEX(Sheet2!B:B,MATCH(C556,Sheet2!A:A,0),1)</f>
        <v>252</v>
      </c>
      <c r="I556">
        <f>3-COUNTBLANK(D556:F556)</f>
        <v>2</v>
      </c>
      <c r="J556">
        <f>IF(I556&gt;=2,H556,0)</f>
        <v>252</v>
      </c>
    </row>
    <row r="557" spans="1:10" x14ac:dyDescent="0.3">
      <c r="A557" t="s">
        <v>1312</v>
      </c>
      <c r="B557" t="s">
        <v>1394</v>
      </c>
      <c r="C557" t="s">
        <v>1395</v>
      </c>
      <c r="D557" t="s">
        <v>134</v>
      </c>
      <c r="F557" t="s">
        <v>2377</v>
      </c>
      <c r="G557" t="str" cm="1">
        <f t="array" ref="G557">_xlfn.IFS(
ISNUMBER(SEARCH("hold",C557)),"hold",
ISNUMBER(SEARCH("youth",C557)),"youth",
ISNUMBER(SEARCH("juve",C557)),"youth",
OR(ISNUMBER(SEARCH("health",B557)),ISNUMBER(SEARCH("care ",B557)),ISNUMBER(SEARCH("psych",B557)),ISNUMBER(SEARCH("medical",B557)),ISNUMBER(SEARCH("hospital",B557))),"medical",
ISNUMBER(SEARCH("correct",B557)),"correctional",
ISNUMBER(SEARCH("process",B557)),"processing",
ISNUMBER(SEARCH("detention center",B557)),"detention",
ISNUMBER(SEARCH("detention fac",B557)),"detention",
ISNUMBER(SEARCH("staging",B557)),"staging",
ISNUMBER(SEARCH("prison",B557)),"prison",
ISNUMBER(SEARCH("penet",B557)),"prison",
ISNUMBER(SEARCH("jail",B557)),"jail",
ISNUMBER(SEARCH("detention",B557)),"detention",
ISNUMBER(SEARCH("sheriff",B557)),"sheriff/police",
ISNUMBER(SEARCH("police",B557)),"sheriff/police",
TRUE,""
)</f>
        <v>jail</v>
      </c>
      <c r="H557">
        <f>INDEX(Sheet2!B:B,MATCH(C557,Sheet2!A:A,0),1)</f>
        <v>3</v>
      </c>
      <c r="I557">
        <f>3-COUNTBLANK(D557:F557)</f>
        <v>2</v>
      </c>
      <c r="J557">
        <f>IF(I557&gt;=2,H557,0)</f>
        <v>3</v>
      </c>
    </row>
    <row r="558" spans="1:10" x14ac:dyDescent="0.3">
      <c r="A558" t="s">
        <v>1315</v>
      </c>
      <c r="B558" t="s">
        <v>1491</v>
      </c>
      <c r="C558" t="s">
        <v>1492</v>
      </c>
      <c r="D558" t="s">
        <v>6</v>
      </c>
      <c r="F558" t="s">
        <v>2382</v>
      </c>
      <c r="G558" t="str" cm="1">
        <f t="array" ref="G558">_xlfn.IFS(
ISNUMBER(SEARCH("hold",C558)),"hold",
ISNUMBER(SEARCH("youth",C558)),"youth",
ISNUMBER(SEARCH("juve",C558)),"youth",
OR(ISNUMBER(SEARCH("health",B558)),ISNUMBER(SEARCH("care ",B558)),ISNUMBER(SEARCH("psych",B558)),ISNUMBER(SEARCH("medical",B558)),ISNUMBER(SEARCH("hospital",B558))),"medical",
ISNUMBER(SEARCH("correct",B558)),"correctional",
ISNUMBER(SEARCH("process",B558)),"processing",
ISNUMBER(SEARCH("detention center",B558)),"detention",
ISNUMBER(SEARCH("detention fac",B558)),"detention",
ISNUMBER(SEARCH("staging",B558)),"staging",
ISNUMBER(SEARCH("prison",B558)),"prison",
ISNUMBER(SEARCH("penet",B558)),"prison",
ISNUMBER(SEARCH("jail",B558)),"jail",
ISNUMBER(SEARCH("detention",B558)),"detention",
ISNUMBER(SEARCH("sheriff",B558)),"sheriff/police",
ISNUMBER(SEARCH("police",B558)),"sheriff/police",
TRUE,""
)</f>
        <v>jail</v>
      </c>
      <c r="H558">
        <f>INDEX(Sheet2!B:B,MATCH(C558,Sheet2!A:A,0),1)</f>
        <v>3</v>
      </c>
      <c r="I558">
        <f>3-COUNTBLANK(D558:F558)</f>
        <v>2</v>
      </c>
      <c r="J558">
        <f>IF(I558&gt;=2,H558,0)</f>
        <v>3</v>
      </c>
    </row>
    <row r="559" spans="1:10" x14ac:dyDescent="0.3">
      <c r="A559" t="s">
        <v>969</v>
      </c>
      <c r="B559" t="s">
        <v>934</v>
      </c>
      <c r="C559" t="s">
        <v>935</v>
      </c>
      <c r="D559" t="s">
        <v>50</v>
      </c>
      <c r="G559" t="str" cm="1">
        <f t="array" ref="G559">_xlfn.IFS(
ISNUMBER(SEARCH("hold",C559)),"hold",
ISNUMBER(SEARCH("youth",C559)),"youth",
ISNUMBER(SEARCH("juve",C559)),"youth",
OR(ISNUMBER(SEARCH("health",B559)),ISNUMBER(SEARCH("care ",B559)),ISNUMBER(SEARCH("psych",B559)),ISNUMBER(SEARCH("medical",B559)),ISNUMBER(SEARCH("hospital",B559))),"medical",
ISNUMBER(SEARCH("correct",B559)),"correctional",
ISNUMBER(SEARCH("process",B559)),"processing",
ISNUMBER(SEARCH("detention center",B559)),"detention",
ISNUMBER(SEARCH("detention fac",B559)),"detention",
ISNUMBER(SEARCH("staging",B559)),"staging",
ISNUMBER(SEARCH("prison",B559)),"prison",
ISNUMBER(SEARCH("penet",B559)),"prison",
ISNUMBER(SEARCH("jail",B559)),"jail",
ISNUMBER(SEARCH("detention",B559)),"detention",
ISNUMBER(SEARCH("sheriff",B559)),"sheriff/police",
ISNUMBER(SEARCH("police",B559)),"sheriff/police",
TRUE,""
)</f>
        <v>detention</v>
      </c>
      <c r="H559">
        <f>INDEX(Sheet2!B:B,MATCH(C559,Sheet2!A:A,0),1)</f>
        <v>46</v>
      </c>
      <c r="I559">
        <f>3-COUNTBLANK(D559:F559)</f>
        <v>1</v>
      </c>
      <c r="J559">
        <f>IF(I559&gt;=2,H559,0)</f>
        <v>0</v>
      </c>
    </row>
    <row r="560" spans="1:10" x14ac:dyDescent="0.3">
      <c r="A560" t="s">
        <v>288</v>
      </c>
      <c r="B560" t="s">
        <v>948</v>
      </c>
      <c r="C560" t="s">
        <v>949</v>
      </c>
      <c r="D560" t="s">
        <v>141</v>
      </c>
      <c r="F560" t="s">
        <v>2253</v>
      </c>
      <c r="G560" t="str" cm="1">
        <f t="array" ref="G560">_xlfn.IFS(
ISNUMBER(SEARCH("hold",C560)),"hold",
ISNUMBER(SEARCH("youth",C560)),"youth",
ISNUMBER(SEARCH("juve",C560)),"youth",
OR(ISNUMBER(SEARCH("health",B560)),ISNUMBER(SEARCH("care ",B560)),ISNUMBER(SEARCH("psych",B560)),ISNUMBER(SEARCH("medical",B560)),ISNUMBER(SEARCH("hospital",B560))),"medical",
ISNUMBER(SEARCH("correct",B560)),"correctional",
ISNUMBER(SEARCH("process",B560)),"processing",
ISNUMBER(SEARCH("detention center",B560)),"detention",
ISNUMBER(SEARCH("detention fac",B560)),"detention",
ISNUMBER(SEARCH("staging",B560)),"staging",
ISNUMBER(SEARCH("prison",B560)),"prison",
ISNUMBER(SEARCH("penet",B560)),"prison",
ISNUMBER(SEARCH("jail",B560)),"jail",
ISNUMBER(SEARCH("detention",B560)),"detention",
ISNUMBER(SEARCH("sheriff",B560)),"sheriff/police",
ISNUMBER(SEARCH("police",B560)),"sheriff/police",
TRUE,""
)</f>
        <v>sheriff/police</v>
      </c>
      <c r="H560">
        <f>INDEX(Sheet2!B:B,MATCH(C560,Sheet2!A:A,0),1)</f>
        <v>919</v>
      </c>
      <c r="I560">
        <f>3-COUNTBLANK(D560:F560)</f>
        <v>2</v>
      </c>
      <c r="J560">
        <f>IF(I560&gt;=2,H560,0)</f>
        <v>919</v>
      </c>
    </row>
    <row r="561" spans="1:10" x14ac:dyDescent="0.3">
      <c r="A561" t="s">
        <v>1267</v>
      </c>
      <c r="B561" t="s">
        <v>983</v>
      </c>
      <c r="C561" t="s">
        <v>984</v>
      </c>
      <c r="D561" t="s">
        <v>152</v>
      </c>
      <c r="F561" t="s">
        <v>2342</v>
      </c>
      <c r="G561" t="str" cm="1">
        <f t="array" ref="G561">_xlfn.IFS(
ISNUMBER(SEARCH("hold",C561)),"hold",
ISNUMBER(SEARCH("youth",C561)),"youth",
ISNUMBER(SEARCH("juve",C561)),"youth",
OR(ISNUMBER(SEARCH("health",B561)),ISNUMBER(SEARCH("care ",B561)),ISNUMBER(SEARCH("psych",B561)),ISNUMBER(SEARCH("medical",B561)),ISNUMBER(SEARCH("hospital",B561))),"medical",
ISNUMBER(SEARCH("correct",B561)),"correctional",
ISNUMBER(SEARCH("process",B561)),"processing",
ISNUMBER(SEARCH("detention center",B561)),"detention",
ISNUMBER(SEARCH("detention fac",B561)),"detention",
ISNUMBER(SEARCH("staging",B561)),"staging",
ISNUMBER(SEARCH("prison",B561)),"prison",
ISNUMBER(SEARCH("penet",B561)),"prison",
ISNUMBER(SEARCH("jail",B561)),"jail",
ISNUMBER(SEARCH("detention",B561)),"detention",
ISNUMBER(SEARCH("sheriff",B561)),"sheriff/police",
ISNUMBER(SEARCH("police",B561)),"sheriff/police",
TRUE,""
)</f>
        <v>detention</v>
      </c>
      <c r="H561">
        <f>INDEX(Sheet2!B:B,MATCH(C561,Sheet2!A:A,0),1)</f>
        <v>4</v>
      </c>
      <c r="I561">
        <f>3-COUNTBLANK(D561:F561)</f>
        <v>2</v>
      </c>
      <c r="J561">
        <f>IF(I561&gt;=2,H561,0)</f>
        <v>4</v>
      </c>
    </row>
    <row r="562" spans="1:10" x14ac:dyDescent="0.3">
      <c r="A562" t="s">
        <v>1326</v>
      </c>
      <c r="B562" t="s">
        <v>808</v>
      </c>
      <c r="C562" t="s">
        <v>809</v>
      </c>
      <c r="D562" t="s">
        <v>50</v>
      </c>
      <c r="G562" t="str" cm="1">
        <f t="array" ref="G562">_xlfn.IFS(
ISNUMBER(SEARCH("hold",C562)),"hold",
ISNUMBER(SEARCH("youth",C562)),"youth",
ISNUMBER(SEARCH("juve",C562)),"youth",
OR(ISNUMBER(SEARCH("health",B562)),ISNUMBER(SEARCH("care ",B562)),ISNUMBER(SEARCH("psych",B562)),ISNUMBER(SEARCH("medical",B562)),ISNUMBER(SEARCH("hospital",B562))),"medical",
ISNUMBER(SEARCH("correct",B562)),"correctional",
ISNUMBER(SEARCH("process",B562)),"processing",
ISNUMBER(SEARCH("detention center",B562)),"detention",
ISNUMBER(SEARCH("detention fac",B562)),"detention",
ISNUMBER(SEARCH("staging",B562)),"staging",
ISNUMBER(SEARCH("prison",B562)),"prison",
ISNUMBER(SEARCH("penet",B562)),"prison",
ISNUMBER(SEARCH("jail",B562)),"jail",
ISNUMBER(SEARCH("detention",B562)),"detention",
ISNUMBER(SEARCH("sheriff",B562)),"sheriff/police",
ISNUMBER(SEARCH("police",B562)),"sheriff/police",
TRUE,""
)</f>
        <v>jail</v>
      </c>
      <c r="H562">
        <f>INDEX(Sheet2!B:B,MATCH(C562,Sheet2!A:A,0),1)</f>
        <v>3</v>
      </c>
      <c r="I562">
        <f>3-COUNTBLANK(D562:F562)</f>
        <v>1</v>
      </c>
      <c r="J562">
        <f>IF(I562&gt;=2,H562,0)</f>
        <v>0</v>
      </c>
    </row>
    <row r="563" spans="1:10" x14ac:dyDescent="0.3">
      <c r="A563" t="s">
        <v>1329</v>
      </c>
      <c r="B563" t="s">
        <v>267</v>
      </c>
      <c r="C563" t="s">
        <v>268</v>
      </c>
      <c r="G563" t="str" cm="1">
        <f t="array" ref="G563">_xlfn.IFS(
ISNUMBER(SEARCH("hold",C563)),"hold",
ISNUMBER(SEARCH("youth",C563)),"youth",
ISNUMBER(SEARCH("juve",C563)),"youth",
OR(ISNUMBER(SEARCH("health",B563)),ISNUMBER(SEARCH("care ",B563)),ISNUMBER(SEARCH("psych",B563)),ISNUMBER(SEARCH("medical",B563)),ISNUMBER(SEARCH("hospital",B563))),"medical",
ISNUMBER(SEARCH("correct",B563)),"correctional",
ISNUMBER(SEARCH("process",B563)),"processing",
ISNUMBER(SEARCH("detention center",B563)),"detention",
ISNUMBER(SEARCH("detention fac",B563)),"detention",
ISNUMBER(SEARCH("staging",B563)),"staging",
ISNUMBER(SEARCH("prison",B563)),"prison",
ISNUMBER(SEARCH("penet",B563)),"prison",
ISNUMBER(SEARCH("jail",B563)),"jail",
ISNUMBER(SEARCH("detention",B563)),"detention",
ISNUMBER(SEARCH("sheriff",B563)),"sheriff/police",
ISNUMBER(SEARCH("police",B563)),"sheriff/police",
TRUE,""
)</f>
        <v>correctional</v>
      </c>
      <c r="H563">
        <f>INDEX(Sheet2!B:B,MATCH(C563,Sheet2!A:A,0),1)</f>
        <v>3</v>
      </c>
      <c r="I563">
        <f>3-COUNTBLANK(D563:F563)</f>
        <v>0</v>
      </c>
      <c r="J563">
        <f>IF(I563&gt;=2,H563,0)</f>
        <v>0</v>
      </c>
    </row>
    <row r="564" spans="1:10" x14ac:dyDescent="0.3">
      <c r="A564" t="s">
        <v>2004</v>
      </c>
      <c r="B564" t="s">
        <v>1643</v>
      </c>
      <c r="C564" t="s">
        <v>1644</v>
      </c>
      <c r="D564" t="s">
        <v>35</v>
      </c>
      <c r="F564" t="s">
        <v>1645</v>
      </c>
      <c r="G564" t="str" cm="1">
        <f t="array" ref="G564">_xlfn.IFS(
ISNUMBER(SEARCH("hold",C564)),"hold",
ISNUMBER(SEARCH("youth",C564)),"youth",
ISNUMBER(SEARCH("juve",C564)),"youth",
OR(ISNUMBER(SEARCH("health",B564)),ISNUMBER(SEARCH("care ",B564)),ISNUMBER(SEARCH("psych",B564)),ISNUMBER(SEARCH("medical",B564)),ISNUMBER(SEARCH("hospital",B564))),"medical",
ISNUMBER(SEARCH("correct",B564)),"correctional",
ISNUMBER(SEARCH("process",B564)),"processing",
ISNUMBER(SEARCH("detention center",B564)),"detention",
ISNUMBER(SEARCH("detention fac",B564)),"detention",
ISNUMBER(SEARCH("staging",B564)),"staging",
ISNUMBER(SEARCH("prison",B564)),"prison",
ISNUMBER(SEARCH("penet",B564)),"prison",
ISNUMBER(SEARCH("jail",B564)),"jail",
ISNUMBER(SEARCH("detention",B564)),"detention",
ISNUMBER(SEARCH("sheriff",B564)),"sheriff/police",
ISNUMBER(SEARCH("police",B564)),"sheriff/police",
TRUE,""
)</f>
        <v>jail</v>
      </c>
      <c r="H564">
        <f>INDEX(Sheet2!B:B,MATCH(C564,Sheet2!A:A,0),1)</f>
        <v>2</v>
      </c>
      <c r="I564">
        <f>3-COUNTBLANK(D564:F564)</f>
        <v>2</v>
      </c>
      <c r="J564">
        <f>IF(I564&gt;=2,H564,0)</f>
        <v>2</v>
      </c>
    </row>
    <row r="565" spans="1:10" x14ac:dyDescent="0.3">
      <c r="A565" t="s">
        <v>1332</v>
      </c>
      <c r="B565" t="s">
        <v>684</v>
      </c>
      <c r="C565" t="s">
        <v>685</v>
      </c>
      <c r="D565" t="s">
        <v>50</v>
      </c>
      <c r="E565" t="s">
        <v>2421</v>
      </c>
      <c r="G565" t="str" cm="1">
        <f t="array" ref="G565">_xlfn.IFS(
ISNUMBER(SEARCH("hold",C565)),"hold",
ISNUMBER(SEARCH("youth",C565)),"youth",
ISNUMBER(SEARCH("juve",C565)),"youth",
OR(ISNUMBER(SEARCH("health",B565)),ISNUMBER(SEARCH("care ",B565)),ISNUMBER(SEARCH("psych",B565)),ISNUMBER(SEARCH("medical",B565)),ISNUMBER(SEARCH("hospital",B565))),"medical",
ISNUMBER(SEARCH("correct",B565)),"correctional",
ISNUMBER(SEARCH("process",B565)),"processing",
ISNUMBER(SEARCH("detention center",B565)),"detention",
ISNUMBER(SEARCH("detention fac",B565)),"detention",
ISNUMBER(SEARCH("staging",B565)),"staging",
ISNUMBER(SEARCH("prison",B565)),"prison",
ISNUMBER(SEARCH("penet",B565)),"prison",
ISNUMBER(SEARCH("jail",B565)),"jail",
ISNUMBER(SEARCH("detention",B565)),"detention",
ISNUMBER(SEARCH("sheriff",B565)),"sheriff/police",
ISNUMBER(SEARCH("police",B565)),"sheriff/police",
TRUE,""
)</f>
        <v>hold</v>
      </c>
      <c r="H565">
        <f>INDEX(Sheet2!B:B,MATCH(C565,Sheet2!A:A,0),1)</f>
        <v>2</v>
      </c>
      <c r="I565">
        <f>3-COUNTBLANK(D565:F565)</f>
        <v>2</v>
      </c>
      <c r="J565">
        <f>IF(I565&gt;=2,H565,0)</f>
        <v>2</v>
      </c>
    </row>
    <row r="566" spans="1:10" x14ac:dyDescent="0.3">
      <c r="A566" t="s">
        <v>1336</v>
      </c>
      <c r="B566" t="s">
        <v>2408</v>
      </c>
      <c r="C566" t="s">
        <v>1957</v>
      </c>
      <c r="D566" t="s">
        <v>10</v>
      </c>
      <c r="E566" t="s">
        <v>851</v>
      </c>
      <c r="F566" t="s">
        <v>851</v>
      </c>
      <c r="G566" t="str" cm="1">
        <f t="array" ref="G566">_xlfn.IFS(
ISNUMBER(SEARCH("hold",C566)),"hold",
ISNUMBER(SEARCH("youth",C566)),"youth",
ISNUMBER(SEARCH("juve",C566)),"youth",
OR(ISNUMBER(SEARCH("health",B566)),ISNUMBER(SEARCH("care ",B566)),ISNUMBER(SEARCH("psych",B566)),ISNUMBER(SEARCH("medical",B566)),ISNUMBER(SEARCH("hospital",B566))),"medical",
ISNUMBER(SEARCH("correct",B566)),"correctional",
ISNUMBER(SEARCH("process",B566)),"processing",
ISNUMBER(SEARCH("detention center",B566)),"detention",
ISNUMBER(SEARCH("detention fac",B566)),"detention",
ISNUMBER(SEARCH("staging",B566)),"staging",
ISNUMBER(SEARCH("prison",B566)),"prison",
ISNUMBER(SEARCH("penet",B566)),"prison",
ISNUMBER(SEARCH("jail",B566)),"jail",
ISNUMBER(SEARCH("detention",B566)),"detention",
ISNUMBER(SEARCH("sheriff",B566)),"sheriff/police",
ISNUMBER(SEARCH("police",B566)),"sheriff/police",
TRUE,""
)</f>
        <v>detention</v>
      </c>
      <c r="H566">
        <f>INDEX(Sheet2!B:B,MATCH(C566,Sheet2!A:A,0),1)</f>
        <v>2</v>
      </c>
      <c r="I566">
        <f>3-COUNTBLANK(D566:F566)</f>
        <v>3</v>
      </c>
      <c r="J566">
        <f>IF(I566&gt;=2,H566,0)</f>
        <v>2</v>
      </c>
    </row>
    <row r="567" spans="1:10" x14ac:dyDescent="0.3">
      <c r="A567" t="s">
        <v>1339</v>
      </c>
      <c r="B567" t="s">
        <v>1741</v>
      </c>
      <c r="C567" t="s">
        <v>1742</v>
      </c>
      <c r="D567" t="s">
        <v>6</v>
      </c>
      <c r="F567" t="s">
        <v>2282</v>
      </c>
      <c r="G567" t="str" cm="1">
        <f t="array" ref="G567">_xlfn.IFS(
ISNUMBER(SEARCH("hold",C567)),"hold",
ISNUMBER(SEARCH("youth",C567)),"youth",
ISNUMBER(SEARCH("juve",C567)),"youth",
OR(ISNUMBER(SEARCH("health",B567)),ISNUMBER(SEARCH("care ",B567)),ISNUMBER(SEARCH("psych",B567)),ISNUMBER(SEARCH("medical",B567)),ISNUMBER(SEARCH("hospital",B567))),"medical",
ISNUMBER(SEARCH("correct",B567)),"correctional",
ISNUMBER(SEARCH("process",B567)),"processing",
ISNUMBER(SEARCH("detention center",B567)),"detention",
ISNUMBER(SEARCH("detention fac",B567)),"detention",
ISNUMBER(SEARCH("staging",B567)),"staging",
ISNUMBER(SEARCH("prison",B567)),"prison",
ISNUMBER(SEARCH("penet",B567)),"prison",
ISNUMBER(SEARCH("jail",B567)),"jail",
ISNUMBER(SEARCH("detention",B567)),"detention",
ISNUMBER(SEARCH("sheriff",B567)),"sheriff/police",
ISNUMBER(SEARCH("police",B567)),"sheriff/police",
TRUE,""
)</f>
        <v>jail</v>
      </c>
      <c r="H567">
        <f>INDEX(Sheet2!B:B,MATCH(C567,Sheet2!A:A,0),1)</f>
        <v>2</v>
      </c>
      <c r="I567">
        <f>3-COUNTBLANK(D567:F567)</f>
        <v>2</v>
      </c>
      <c r="J567">
        <f>IF(I567&gt;=2,H567,0)</f>
        <v>2</v>
      </c>
    </row>
    <row r="568" spans="1:10" x14ac:dyDescent="0.3">
      <c r="A568" t="s">
        <v>2005</v>
      </c>
      <c r="B568" t="s">
        <v>1798</v>
      </c>
      <c r="C568" t="s">
        <v>1799</v>
      </c>
      <c r="D568" t="s">
        <v>72</v>
      </c>
      <c r="F568" t="s">
        <v>1800</v>
      </c>
      <c r="G568" t="str" cm="1">
        <f t="array" ref="G568">_xlfn.IFS(
ISNUMBER(SEARCH("hold",C568)),"hold",
ISNUMBER(SEARCH("youth",C568)),"youth",
ISNUMBER(SEARCH("juve",C568)),"youth",
OR(ISNUMBER(SEARCH("health",B568)),ISNUMBER(SEARCH("care ",B568)),ISNUMBER(SEARCH("psych",B568)),ISNUMBER(SEARCH("medical",B568)),ISNUMBER(SEARCH("hospital",B568))),"medical",
ISNUMBER(SEARCH("correct",B568)),"correctional",
ISNUMBER(SEARCH("process",B568)),"processing",
ISNUMBER(SEARCH("detention center",B568)),"detention",
ISNUMBER(SEARCH("detention fac",B568)),"detention",
ISNUMBER(SEARCH("staging",B568)),"staging",
ISNUMBER(SEARCH("prison",B568)),"prison",
ISNUMBER(SEARCH("penet",B568)),"prison",
ISNUMBER(SEARCH("jail",B568)),"jail",
ISNUMBER(SEARCH("detention",B568)),"detention",
ISNUMBER(SEARCH("sheriff",B568)),"sheriff/police",
ISNUMBER(SEARCH("police",B568)),"sheriff/police",
TRUE,""
)</f>
        <v>jail</v>
      </c>
      <c r="H568">
        <f>INDEX(Sheet2!B:B,MATCH(C568,Sheet2!A:A,0),1)</f>
        <v>2</v>
      </c>
      <c r="I568">
        <f>3-COUNTBLANK(D568:F568)</f>
        <v>2</v>
      </c>
      <c r="J568">
        <f>IF(I568&gt;=2,H568,0)</f>
        <v>2</v>
      </c>
    </row>
    <row r="569" spans="1:10" x14ac:dyDescent="0.3">
      <c r="A569" t="s">
        <v>1342</v>
      </c>
      <c r="B569" t="s">
        <v>1884</v>
      </c>
      <c r="C569" t="s">
        <v>1885</v>
      </c>
      <c r="D569" t="s">
        <v>50</v>
      </c>
      <c r="F569" t="s">
        <v>1886</v>
      </c>
      <c r="G569" t="str" cm="1">
        <f t="array" ref="G569">_xlfn.IFS(
ISNUMBER(SEARCH("hold",C569)),"hold",
ISNUMBER(SEARCH("youth",C569)),"youth",
ISNUMBER(SEARCH("juve",C569)),"youth",
OR(ISNUMBER(SEARCH("health",B569)),ISNUMBER(SEARCH("care ",B569)),ISNUMBER(SEARCH("psych",B569)),ISNUMBER(SEARCH("medical",B569)),ISNUMBER(SEARCH("hospital",B569))),"medical",
ISNUMBER(SEARCH("correct",B569)),"correctional",
ISNUMBER(SEARCH("process",B569)),"processing",
ISNUMBER(SEARCH("detention center",B569)),"detention",
ISNUMBER(SEARCH("detention fac",B569)),"detention",
ISNUMBER(SEARCH("staging",B569)),"staging",
ISNUMBER(SEARCH("prison",B569)),"prison",
ISNUMBER(SEARCH("penet",B569)),"prison",
ISNUMBER(SEARCH("jail",B569)),"jail",
ISNUMBER(SEARCH("detention",B569)),"detention",
ISNUMBER(SEARCH("sheriff",B569)),"sheriff/police",
ISNUMBER(SEARCH("police",B569)),"sheriff/police",
TRUE,""
)</f>
        <v>jail</v>
      </c>
      <c r="H569">
        <f>INDEX(Sheet2!B:B,MATCH(C569,Sheet2!A:A,0),1)</f>
        <v>2</v>
      </c>
      <c r="I569">
        <f>3-COUNTBLANK(D569:F569)</f>
        <v>2</v>
      </c>
      <c r="J569">
        <f>IF(I569&gt;=2,H569,0)</f>
        <v>2</v>
      </c>
    </row>
    <row r="570" spans="1:10" x14ac:dyDescent="0.3">
      <c r="A570" t="s">
        <v>1345</v>
      </c>
      <c r="B570" t="s">
        <v>1920</v>
      </c>
      <c r="C570" t="s">
        <v>1921</v>
      </c>
      <c r="D570" t="s">
        <v>6</v>
      </c>
      <c r="F570" t="s">
        <v>2261</v>
      </c>
      <c r="G570" t="str" cm="1">
        <f t="array" ref="G570">_xlfn.IFS(
ISNUMBER(SEARCH("hold",C570)),"hold",
ISNUMBER(SEARCH("youth",C570)),"youth",
ISNUMBER(SEARCH("juve",C570)),"youth",
OR(ISNUMBER(SEARCH("health",B570)),ISNUMBER(SEARCH("care ",B570)),ISNUMBER(SEARCH("psych",B570)),ISNUMBER(SEARCH("medical",B570)),ISNUMBER(SEARCH("hospital",B570))),"medical",
ISNUMBER(SEARCH("correct",B570)),"correctional",
ISNUMBER(SEARCH("process",B570)),"processing",
ISNUMBER(SEARCH("detention center",B570)),"detention",
ISNUMBER(SEARCH("detention fac",B570)),"detention",
ISNUMBER(SEARCH("staging",B570)),"staging",
ISNUMBER(SEARCH("prison",B570)),"prison",
ISNUMBER(SEARCH("penet",B570)),"prison",
ISNUMBER(SEARCH("jail",B570)),"jail",
ISNUMBER(SEARCH("detention",B570)),"detention",
ISNUMBER(SEARCH("sheriff",B570)),"sheriff/police",
ISNUMBER(SEARCH("police",B570)),"sheriff/police",
TRUE,""
)</f>
        <v>jail</v>
      </c>
      <c r="H570">
        <f>INDEX(Sheet2!B:B,MATCH(C570,Sheet2!A:A,0),1)</f>
        <v>2</v>
      </c>
      <c r="I570">
        <f>3-COUNTBLANK(D570:F570)</f>
        <v>2</v>
      </c>
      <c r="J570">
        <f>IF(I570&gt;=2,H570,0)</f>
        <v>2</v>
      </c>
    </row>
    <row r="571" spans="1:10" x14ac:dyDescent="0.3">
      <c r="A571" t="s">
        <v>1946</v>
      </c>
      <c r="B571" t="s">
        <v>2542</v>
      </c>
      <c r="C571" t="s">
        <v>986</v>
      </c>
      <c r="D571" t="s">
        <v>129</v>
      </c>
      <c r="F571" t="s">
        <v>987</v>
      </c>
      <c r="G571" t="str" cm="1">
        <f t="array" ref="G571">_xlfn.IFS(
ISNUMBER(SEARCH("hold",C571)),"hold",
ISNUMBER(SEARCH("youth",C571)),"youth",
ISNUMBER(SEARCH("juve",C571)),"youth",
OR(ISNUMBER(SEARCH("health",B571)),ISNUMBER(SEARCH("care ",B571)),ISNUMBER(SEARCH("psych",B571)),ISNUMBER(SEARCH("medical",B571)),ISNUMBER(SEARCH("hospital",B571))),"medical",
ISNUMBER(SEARCH("correct",B571)),"correctional",
ISNUMBER(SEARCH("process",B571)),"processing",
ISNUMBER(SEARCH("detention center",B571)),"detention",
ISNUMBER(SEARCH("detention fac",B571)),"detention",
ISNUMBER(SEARCH("staging",B571)),"staging",
ISNUMBER(SEARCH("prison",B571)),"prison",
ISNUMBER(SEARCH("penet",B571)),"prison",
ISNUMBER(SEARCH("jail",B571)),"jail",
ISNUMBER(SEARCH("detention",B571)),"detention",
ISNUMBER(SEARCH("sheriff",B571)),"sheriff/police",
ISNUMBER(SEARCH("police",B571)),"sheriff/police",
TRUE,""
)</f>
        <v>sheriff/police</v>
      </c>
      <c r="H571">
        <f>INDEX(Sheet2!B:B,MATCH(C571,Sheet2!A:A,0),1)</f>
        <v>553</v>
      </c>
      <c r="I571">
        <f>3-COUNTBLANK(D571:F571)</f>
        <v>2</v>
      </c>
      <c r="J571">
        <f>IF(I571&gt;=2,H571,0)</f>
        <v>553</v>
      </c>
    </row>
    <row r="572" spans="1:10" x14ac:dyDescent="0.3">
      <c r="A572" t="s">
        <v>1351</v>
      </c>
      <c r="B572" t="s">
        <v>240</v>
      </c>
      <c r="C572" t="s">
        <v>241</v>
      </c>
      <c r="G572" t="str" cm="1">
        <f t="array" ref="G572">_xlfn.IFS(
ISNUMBER(SEARCH("hold",C572)),"hold",
ISNUMBER(SEARCH("youth",C572)),"youth",
ISNUMBER(SEARCH("juve",C572)),"youth",
OR(ISNUMBER(SEARCH("health",B572)),ISNUMBER(SEARCH("care ",B572)),ISNUMBER(SEARCH("psych",B572)),ISNUMBER(SEARCH("medical",B572)),ISNUMBER(SEARCH("hospital",B572))),"medical",
ISNUMBER(SEARCH("correct",B572)),"correctional",
ISNUMBER(SEARCH("process",B572)),"processing",
ISNUMBER(SEARCH("detention center",B572)),"detention",
ISNUMBER(SEARCH("detention fac",B572)),"detention",
ISNUMBER(SEARCH("staging",B572)),"staging",
ISNUMBER(SEARCH("prison",B572)),"prison",
ISNUMBER(SEARCH("penet",B572)),"prison",
ISNUMBER(SEARCH("jail",B572)),"jail",
ISNUMBER(SEARCH("detention",B572)),"detention",
ISNUMBER(SEARCH("sheriff",B572)),"sheriff/police",
ISNUMBER(SEARCH("police",B572)),"sheriff/police",
TRUE,""
)</f>
        <v>correctional</v>
      </c>
      <c r="H572">
        <f>INDEX(Sheet2!B:B,MATCH(C572,Sheet2!A:A,0),1)</f>
        <v>2</v>
      </c>
      <c r="I572">
        <f>3-COUNTBLANK(D572:F572)</f>
        <v>0</v>
      </c>
      <c r="J572">
        <f>IF(I572&gt;=2,H572,0)</f>
        <v>0</v>
      </c>
    </row>
    <row r="573" spans="1:10" x14ac:dyDescent="0.3">
      <c r="A573" t="s">
        <v>1354</v>
      </c>
      <c r="B573" t="s">
        <v>466</v>
      </c>
      <c r="C573" t="s">
        <v>467</v>
      </c>
      <c r="D573" t="s">
        <v>6</v>
      </c>
      <c r="F573" t="s">
        <v>2267</v>
      </c>
      <c r="G573" t="str" cm="1">
        <f t="array" ref="G573">_xlfn.IFS(
ISNUMBER(SEARCH("hold",C573)),"hold",
ISNUMBER(SEARCH("youth",C573)),"youth",
ISNUMBER(SEARCH("juve",C573)),"youth",
OR(ISNUMBER(SEARCH("health",B573)),ISNUMBER(SEARCH("care ",B573)),ISNUMBER(SEARCH("psych",B573)),ISNUMBER(SEARCH("medical",B573)),ISNUMBER(SEARCH("hospital",B573))),"medical",
ISNUMBER(SEARCH("correct",B573)),"correctional",
ISNUMBER(SEARCH("process",B573)),"processing",
ISNUMBER(SEARCH("detention center",B573)),"detention",
ISNUMBER(SEARCH("detention fac",B573)),"detention",
ISNUMBER(SEARCH("staging",B573)),"staging",
ISNUMBER(SEARCH("prison",B573)),"prison",
ISNUMBER(SEARCH("penet",B573)),"prison",
ISNUMBER(SEARCH("jail",B573)),"jail",
ISNUMBER(SEARCH("detention",B573)),"detention",
ISNUMBER(SEARCH("sheriff",B573)),"sheriff/police",
ISNUMBER(SEARCH("police",B573)),"sheriff/police",
TRUE,""
)</f>
        <v>jail</v>
      </c>
      <c r="H573">
        <f>INDEX(Sheet2!B:B,MATCH(C573,Sheet2!A:A,0),1)</f>
        <v>2</v>
      </c>
      <c r="I573">
        <f>3-COUNTBLANK(D573:F573)</f>
        <v>2</v>
      </c>
      <c r="J573">
        <f>IF(I573&gt;=2,H573,0)</f>
        <v>2</v>
      </c>
    </row>
    <row r="574" spans="1:10" x14ac:dyDescent="0.3">
      <c r="A574" t="s">
        <v>1356</v>
      </c>
      <c r="B574" t="s">
        <v>472</v>
      </c>
      <c r="C574" t="s">
        <v>473</v>
      </c>
      <c r="D574" t="s">
        <v>50</v>
      </c>
      <c r="F574" t="s">
        <v>2295</v>
      </c>
      <c r="G574" t="str" cm="1">
        <f t="array" ref="G574">_xlfn.IFS(
ISNUMBER(SEARCH("hold",C574)),"hold",
ISNUMBER(SEARCH("youth",C574)),"youth",
ISNUMBER(SEARCH("juve",C574)),"youth",
OR(ISNUMBER(SEARCH("health",B574)),ISNUMBER(SEARCH("care ",B574)),ISNUMBER(SEARCH("psych",B574)),ISNUMBER(SEARCH("medical",B574)),ISNUMBER(SEARCH("hospital",B574))),"medical",
ISNUMBER(SEARCH("correct",B574)),"correctional",
ISNUMBER(SEARCH("process",B574)),"processing",
ISNUMBER(SEARCH("detention center",B574)),"detention",
ISNUMBER(SEARCH("detention fac",B574)),"detention",
ISNUMBER(SEARCH("staging",B574)),"staging",
ISNUMBER(SEARCH("prison",B574)),"prison",
ISNUMBER(SEARCH("penet",B574)),"prison",
ISNUMBER(SEARCH("jail",B574)),"jail",
ISNUMBER(SEARCH("detention",B574)),"detention",
ISNUMBER(SEARCH("sheriff",B574)),"sheriff/police",
ISNUMBER(SEARCH("police",B574)),"sheriff/police",
TRUE,""
)</f>
        <v>jail</v>
      </c>
      <c r="H574">
        <f>INDEX(Sheet2!B:B,MATCH(C574,Sheet2!A:A,0),1)</f>
        <v>2</v>
      </c>
      <c r="I574">
        <f>3-COUNTBLANK(D574:F574)</f>
        <v>2</v>
      </c>
      <c r="J574">
        <f>IF(I574&gt;=2,H574,0)</f>
        <v>2</v>
      </c>
    </row>
    <row r="575" spans="1:10" x14ac:dyDescent="0.3">
      <c r="A575" t="s">
        <v>1359</v>
      </c>
      <c r="B575" t="s">
        <v>1045</v>
      </c>
      <c r="C575" t="s">
        <v>1046</v>
      </c>
      <c r="D575" t="s">
        <v>23</v>
      </c>
      <c r="F575" t="s">
        <v>2321</v>
      </c>
      <c r="G575" t="str" cm="1">
        <f t="array" ref="G575">_xlfn.IFS(
ISNUMBER(SEARCH("hold",C575)),"hold",
ISNUMBER(SEARCH("youth",C575)),"youth",
ISNUMBER(SEARCH("juve",C575)),"youth",
OR(ISNUMBER(SEARCH("health",B575)),ISNUMBER(SEARCH("care ",B575)),ISNUMBER(SEARCH("psych",B575)),ISNUMBER(SEARCH("medical",B575)),ISNUMBER(SEARCH("hospital",B575))),"medical",
ISNUMBER(SEARCH("correct",B575)),"correctional",
ISNUMBER(SEARCH("process",B575)),"processing",
ISNUMBER(SEARCH("detention center",B575)),"detention",
ISNUMBER(SEARCH("detention fac",B575)),"detention",
ISNUMBER(SEARCH("staging",B575)),"staging",
ISNUMBER(SEARCH("prison",B575)),"prison",
ISNUMBER(SEARCH("penet",B575)),"prison",
ISNUMBER(SEARCH("jail",B575)),"jail",
ISNUMBER(SEARCH("detention",B575)),"detention",
ISNUMBER(SEARCH("sheriff",B575)),"sheriff/police",
ISNUMBER(SEARCH("police",B575)),"sheriff/police",
TRUE,""
)</f>
        <v>jail</v>
      </c>
      <c r="H575">
        <f>INDEX(Sheet2!B:B,MATCH(C575,Sheet2!A:A,0),1)</f>
        <v>2</v>
      </c>
      <c r="I575">
        <f>3-COUNTBLANK(D575:F575)</f>
        <v>2</v>
      </c>
      <c r="J575">
        <f>IF(I575&gt;=2,H575,0)</f>
        <v>2</v>
      </c>
    </row>
    <row r="576" spans="1:10" x14ac:dyDescent="0.3">
      <c r="A576" t="s">
        <v>1362</v>
      </c>
      <c r="B576" t="s">
        <v>539</v>
      </c>
      <c r="C576" t="s">
        <v>541</v>
      </c>
      <c r="D576" t="s">
        <v>78</v>
      </c>
      <c r="F576" t="s">
        <v>2247</v>
      </c>
      <c r="G576" t="str" cm="1">
        <f t="array" ref="G576">_xlfn.IFS(
ISNUMBER(SEARCH("hold",C576)),"hold",
ISNUMBER(SEARCH("youth",C576)),"youth",
ISNUMBER(SEARCH("juve",C576)),"youth",
OR(ISNUMBER(SEARCH("health",B576)),ISNUMBER(SEARCH("care ",B576)),ISNUMBER(SEARCH("psych",B576)),ISNUMBER(SEARCH("medical",B576)),ISNUMBER(SEARCH("hospital",B576))),"medical",
ISNUMBER(SEARCH("correct",B576)),"correctional",
ISNUMBER(SEARCH("process",B576)),"processing",
ISNUMBER(SEARCH("detention center",B576)),"detention",
ISNUMBER(SEARCH("detention fac",B576)),"detention",
ISNUMBER(SEARCH("staging",B576)),"staging",
ISNUMBER(SEARCH("prison",B576)),"prison",
ISNUMBER(SEARCH("penet",B576)),"prison",
ISNUMBER(SEARCH("jail",B576)),"jail",
ISNUMBER(SEARCH("detention",B576)),"detention",
ISNUMBER(SEARCH("sheriff",B576)),"sheriff/police",
ISNUMBER(SEARCH("police",B576)),"sheriff/police",
TRUE,""
)</f>
        <v>jail</v>
      </c>
      <c r="H576">
        <f>INDEX(Sheet2!B:B,MATCH(C576,Sheet2!A:A,0),1)</f>
        <v>2</v>
      </c>
      <c r="I576">
        <f>3-COUNTBLANK(D576:F576)</f>
        <v>2</v>
      </c>
      <c r="J576">
        <f>IF(I576&gt;=2,H576,0)</f>
        <v>2</v>
      </c>
    </row>
    <row r="577" spans="1:10" x14ac:dyDescent="0.3">
      <c r="A577" t="s">
        <v>1365</v>
      </c>
      <c r="B577" t="s">
        <v>601</v>
      </c>
      <c r="C577" t="s">
        <v>602</v>
      </c>
      <c r="D577" t="s">
        <v>185</v>
      </c>
      <c r="F577" t="s">
        <v>2274</v>
      </c>
      <c r="G577" t="str" cm="1">
        <f t="array" ref="G577">_xlfn.IFS(
ISNUMBER(SEARCH("hold",C577)),"hold",
ISNUMBER(SEARCH("youth",C577)),"youth",
ISNUMBER(SEARCH("juve",C577)),"youth",
OR(ISNUMBER(SEARCH("health",B577)),ISNUMBER(SEARCH("care ",B577)),ISNUMBER(SEARCH("psych",B577)),ISNUMBER(SEARCH("medical",B577)),ISNUMBER(SEARCH("hospital",B577))),"medical",
ISNUMBER(SEARCH("correct",B577)),"correctional",
ISNUMBER(SEARCH("process",B577)),"processing",
ISNUMBER(SEARCH("detention center",B577)),"detention",
ISNUMBER(SEARCH("detention fac",B577)),"detention",
ISNUMBER(SEARCH("staging",B577)),"staging",
ISNUMBER(SEARCH("prison",B577)),"prison",
ISNUMBER(SEARCH("penet",B577)),"prison",
ISNUMBER(SEARCH("jail",B577)),"jail",
ISNUMBER(SEARCH("detention",B577)),"detention",
ISNUMBER(SEARCH("sheriff",B577)),"sheriff/police",
ISNUMBER(SEARCH("police",B577)),"sheriff/police",
TRUE,""
)</f>
        <v>jail</v>
      </c>
      <c r="H577">
        <f>INDEX(Sheet2!B:B,MATCH(C577,Sheet2!A:A,0),1)</f>
        <v>2</v>
      </c>
      <c r="I577">
        <f>3-COUNTBLANK(D577:F577)</f>
        <v>2</v>
      </c>
      <c r="J577">
        <f>IF(I577&gt;=2,H577,0)</f>
        <v>2</v>
      </c>
    </row>
    <row r="578" spans="1:10" x14ac:dyDescent="0.3">
      <c r="A578" t="s">
        <v>1415</v>
      </c>
      <c r="B578" t="s">
        <v>1008</v>
      </c>
      <c r="C578" t="s">
        <v>1009</v>
      </c>
      <c r="D578" t="s">
        <v>112</v>
      </c>
      <c r="G578" t="str" cm="1">
        <f t="array" ref="G578">_xlfn.IFS(
ISNUMBER(SEARCH("hold",C578)),"hold",
ISNUMBER(SEARCH("youth",C578)),"youth",
ISNUMBER(SEARCH("juve",C578)),"youth",
OR(ISNUMBER(SEARCH("health",B578)),ISNUMBER(SEARCH("care ",B578)),ISNUMBER(SEARCH("psych",B578)),ISNUMBER(SEARCH("medical",B578)),ISNUMBER(SEARCH("hospital",B578))),"medical",
ISNUMBER(SEARCH("correct",B578)),"correctional",
ISNUMBER(SEARCH("process",B578)),"processing",
ISNUMBER(SEARCH("detention center",B578)),"detention",
ISNUMBER(SEARCH("detention fac",B578)),"detention",
ISNUMBER(SEARCH("staging",B578)),"staging",
ISNUMBER(SEARCH("prison",B578)),"prison",
ISNUMBER(SEARCH("penet",B578)),"prison",
ISNUMBER(SEARCH("jail",B578)),"jail",
ISNUMBER(SEARCH("detention",B578)),"detention",
ISNUMBER(SEARCH("sheriff",B578)),"sheriff/police",
ISNUMBER(SEARCH("police",B578)),"sheriff/police",
TRUE,""
)</f>
        <v/>
      </c>
      <c r="H578">
        <f>INDEX(Sheet2!B:B,MATCH(C578,Sheet2!A:A,0),1)</f>
        <v>2</v>
      </c>
      <c r="I578">
        <f>3-COUNTBLANK(D578:F578)</f>
        <v>1</v>
      </c>
      <c r="J578">
        <f>IF(I578&gt;=2,H578,0)</f>
        <v>0</v>
      </c>
    </row>
    <row r="579" spans="1:10" x14ac:dyDescent="0.3">
      <c r="A579" t="s">
        <v>1371</v>
      </c>
      <c r="B579" t="s">
        <v>960</v>
      </c>
      <c r="C579" t="s">
        <v>961</v>
      </c>
      <c r="D579" t="s">
        <v>174</v>
      </c>
      <c r="F579" t="s">
        <v>962</v>
      </c>
      <c r="G579" t="str" cm="1">
        <f t="array" ref="G579">_xlfn.IFS(
ISNUMBER(SEARCH("hold",C579)),"hold",
ISNUMBER(SEARCH("youth",C579)),"youth",
ISNUMBER(SEARCH("juve",C579)),"youth",
OR(ISNUMBER(SEARCH("health",B579)),ISNUMBER(SEARCH("care ",B579)),ISNUMBER(SEARCH("psych",B579)),ISNUMBER(SEARCH("medical",B579)),ISNUMBER(SEARCH("hospital",B579))),"medical",
ISNUMBER(SEARCH("correct",B579)),"correctional",
ISNUMBER(SEARCH("process",B579)),"processing",
ISNUMBER(SEARCH("detention center",B579)),"detention",
ISNUMBER(SEARCH("detention fac",B579)),"detention",
ISNUMBER(SEARCH("staging",B579)),"staging",
ISNUMBER(SEARCH("prison",B579)),"prison",
ISNUMBER(SEARCH("penet",B579)),"prison",
ISNUMBER(SEARCH("jail",B579)),"jail",
ISNUMBER(SEARCH("detention",B579)),"detention",
ISNUMBER(SEARCH("sheriff",B579)),"sheriff/police",
ISNUMBER(SEARCH("police",B579)),"sheriff/police",
TRUE,""
)</f>
        <v>jail</v>
      </c>
      <c r="H579">
        <f>INDEX(Sheet2!B:B,MATCH(C579,Sheet2!A:A,0),1)</f>
        <v>2</v>
      </c>
      <c r="I579">
        <f>3-COUNTBLANK(D579:F579)</f>
        <v>2</v>
      </c>
      <c r="J579">
        <f>IF(I579&gt;=2,H579,0)</f>
        <v>2</v>
      </c>
    </row>
    <row r="580" spans="1:10" x14ac:dyDescent="0.3">
      <c r="A580" t="s">
        <v>1791</v>
      </c>
      <c r="B580" t="s">
        <v>2568</v>
      </c>
      <c r="C580" t="s">
        <v>1962</v>
      </c>
      <c r="D580" t="s">
        <v>112</v>
      </c>
      <c r="F580" t="s">
        <v>1963</v>
      </c>
      <c r="G580" t="str" cm="1">
        <f t="array" ref="G580">_xlfn.IFS(
ISNUMBER(SEARCH("hold",C580)),"hold",
ISNUMBER(SEARCH("youth",C580)),"youth",
ISNUMBER(SEARCH("juve",C580)),"youth",
OR(ISNUMBER(SEARCH("health",B580)),ISNUMBER(SEARCH("care ",B580)),ISNUMBER(SEARCH("psych",B580)),ISNUMBER(SEARCH("medical",B580)),ISNUMBER(SEARCH("hospital",B580))),"medical",
ISNUMBER(SEARCH("correct",B580)),"correctional",
ISNUMBER(SEARCH("process",B580)),"processing",
ISNUMBER(SEARCH("detention center",B580)),"detention",
ISNUMBER(SEARCH("detention fac",B580)),"detention",
ISNUMBER(SEARCH("staging",B580)),"staging",
ISNUMBER(SEARCH("prison",B580)),"prison",
ISNUMBER(SEARCH("penet",B580)),"prison",
ISNUMBER(SEARCH("jail",B580)),"jail",
ISNUMBER(SEARCH("detention",B580)),"detention",
ISNUMBER(SEARCH("sheriff",B580)),"sheriff/police",
ISNUMBER(SEARCH("police",B580)),"sheriff/police",
TRUE,""
)</f>
        <v>correctional</v>
      </c>
      <c r="H580">
        <f>INDEX(Sheet2!B:B,MATCH(C580,Sheet2!A:A,0),1)</f>
        <v>6313</v>
      </c>
      <c r="I580">
        <f>3-COUNTBLANK(D580:F580)</f>
        <v>2</v>
      </c>
      <c r="J580">
        <f>IF(I580&gt;=2,H580,0)</f>
        <v>6313</v>
      </c>
    </row>
    <row r="581" spans="1:10" x14ac:dyDescent="0.3">
      <c r="A581" t="s">
        <v>245</v>
      </c>
      <c r="B581" t="s">
        <v>1109</v>
      </c>
      <c r="C581" t="s">
        <v>1110</v>
      </c>
      <c r="D581" t="s">
        <v>204</v>
      </c>
      <c r="F581" t="s">
        <v>2355</v>
      </c>
      <c r="G581" t="str" cm="1">
        <f t="array" ref="G581">_xlfn.IFS(
ISNUMBER(SEARCH("hold",C581)),"hold",
ISNUMBER(SEARCH("youth",C581)),"youth",
ISNUMBER(SEARCH("juve",C581)),"youth",
OR(ISNUMBER(SEARCH("health",B581)),ISNUMBER(SEARCH("care ",B581)),ISNUMBER(SEARCH("psych",B581)),ISNUMBER(SEARCH("medical",B581)),ISNUMBER(SEARCH("hospital",B581))),"medical",
ISNUMBER(SEARCH("correct",B581)),"correctional",
ISNUMBER(SEARCH("process",B581)),"processing",
ISNUMBER(SEARCH("detention center",B581)),"detention",
ISNUMBER(SEARCH("detention fac",B581)),"detention",
ISNUMBER(SEARCH("staging",B581)),"staging",
ISNUMBER(SEARCH("prison",B581)),"prison",
ISNUMBER(SEARCH("penet",B581)),"prison",
ISNUMBER(SEARCH("jail",B581)),"jail",
ISNUMBER(SEARCH("detention",B581)),"detention",
ISNUMBER(SEARCH("sheriff",B581)),"sheriff/police",
ISNUMBER(SEARCH("police",B581)),"sheriff/police",
TRUE,""
)</f>
        <v>sheriff/police</v>
      </c>
      <c r="H581">
        <f>INDEX(Sheet2!B:B,MATCH(C581,Sheet2!A:A,0),1)</f>
        <v>1079</v>
      </c>
      <c r="I581">
        <f>3-COUNTBLANK(D581:F581)</f>
        <v>2</v>
      </c>
      <c r="J581">
        <f>IF(I581&gt;=2,H581,0)</f>
        <v>1079</v>
      </c>
    </row>
    <row r="582" spans="1:10" x14ac:dyDescent="0.3">
      <c r="A582" t="s">
        <v>1380</v>
      </c>
      <c r="B582" t="s">
        <v>1099</v>
      </c>
      <c r="C582" t="s">
        <v>1100</v>
      </c>
      <c r="D582" t="s">
        <v>35</v>
      </c>
      <c r="F582" t="s">
        <v>1101</v>
      </c>
      <c r="G582" t="str" cm="1">
        <f t="array" ref="G582">_xlfn.IFS(
ISNUMBER(SEARCH("hold",C582)),"hold",
ISNUMBER(SEARCH("youth",C582)),"youth",
ISNUMBER(SEARCH("juve",C582)),"youth",
OR(ISNUMBER(SEARCH("health",B582)),ISNUMBER(SEARCH("care ",B582)),ISNUMBER(SEARCH("psych",B582)),ISNUMBER(SEARCH("medical",B582)),ISNUMBER(SEARCH("hospital",B582))),"medical",
ISNUMBER(SEARCH("correct",B582)),"correctional",
ISNUMBER(SEARCH("process",B582)),"processing",
ISNUMBER(SEARCH("detention center",B582)),"detention",
ISNUMBER(SEARCH("detention fac",B582)),"detention",
ISNUMBER(SEARCH("staging",B582)),"staging",
ISNUMBER(SEARCH("prison",B582)),"prison",
ISNUMBER(SEARCH("penet",B582)),"prison",
ISNUMBER(SEARCH("jail",B582)),"jail",
ISNUMBER(SEARCH("detention",B582)),"detention",
ISNUMBER(SEARCH("sheriff",B582)),"sheriff/police",
ISNUMBER(SEARCH("police",B582)),"sheriff/police",
TRUE,""
)</f>
        <v>jail</v>
      </c>
      <c r="H582">
        <f>INDEX(Sheet2!B:B,MATCH(C582,Sheet2!A:A,0),1)</f>
        <v>2</v>
      </c>
      <c r="I582">
        <f>3-COUNTBLANK(D582:F582)</f>
        <v>2</v>
      </c>
      <c r="J582">
        <f>IF(I582&gt;=2,H582,0)</f>
        <v>2</v>
      </c>
    </row>
    <row r="583" spans="1:10" x14ac:dyDescent="0.3">
      <c r="A583" t="s">
        <v>1383</v>
      </c>
      <c r="B583" t="s">
        <v>1845</v>
      </c>
      <c r="C583" t="s">
        <v>1846</v>
      </c>
      <c r="D583" t="s">
        <v>227</v>
      </c>
      <c r="G583" t="str" cm="1">
        <f t="array" ref="G583">_xlfn.IFS(
ISNUMBER(SEARCH("hold",C583)),"hold",
ISNUMBER(SEARCH("youth",C583)),"youth",
ISNUMBER(SEARCH("juve",C583)),"youth",
OR(ISNUMBER(SEARCH("health",B583)),ISNUMBER(SEARCH("care ",B583)),ISNUMBER(SEARCH("psych",B583)),ISNUMBER(SEARCH("medical",B583)),ISNUMBER(SEARCH("hospital",B583))),"medical",
ISNUMBER(SEARCH("correct",B583)),"correctional",
ISNUMBER(SEARCH("process",B583)),"processing",
ISNUMBER(SEARCH("detention center",B583)),"detention",
ISNUMBER(SEARCH("detention fac",B583)),"detention",
ISNUMBER(SEARCH("staging",B583)),"staging",
ISNUMBER(SEARCH("prison",B583)),"prison",
ISNUMBER(SEARCH("penet",B583)),"prison",
ISNUMBER(SEARCH("jail",B583)),"jail",
ISNUMBER(SEARCH("detention",B583)),"detention",
ISNUMBER(SEARCH("sheriff",B583)),"sheriff/police",
ISNUMBER(SEARCH("police",B583)),"sheriff/police",
TRUE,""
)</f>
        <v>medical</v>
      </c>
      <c r="H583">
        <f>INDEX(Sheet2!B:B,MATCH(C583,Sheet2!A:A,0),1)</f>
        <v>2</v>
      </c>
      <c r="I583">
        <f>3-COUNTBLANK(D583:F583)</f>
        <v>1</v>
      </c>
      <c r="J583">
        <f>IF(I583&gt;=2,H583,0)</f>
        <v>0</v>
      </c>
    </row>
    <row r="584" spans="1:10" x14ac:dyDescent="0.3">
      <c r="A584" t="s">
        <v>1386</v>
      </c>
      <c r="B584" t="s">
        <v>57</v>
      </c>
      <c r="C584" t="s">
        <v>58</v>
      </c>
      <c r="G584" t="str" cm="1">
        <f t="array" ref="G584">_xlfn.IFS(
ISNUMBER(SEARCH("hold",C584)),"hold",
ISNUMBER(SEARCH("youth",C584)),"youth",
ISNUMBER(SEARCH("juve",C584)),"youth",
OR(ISNUMBER(SEARCH("health",B584)),ISNUMBER(SEARCH("care ",B584)),ISNUMBER(SEARCH("psych",B584)),ISNUMBER(SEARCH("medical",B584)),ISNUMBER(SEARCH("hospital",B584))),"medical",
ISNUMBER(SEARCH("correct",B584)),"correctional",
ISNUMBER(SEARCH("process",B584)),"processing",
ISNUMBER(SEARCH("detention center",B584)),"detention",
ISNUMBER(SEARCH("detention fac",B584)),"detention",
ISNUMBER(SEARCH("staging",B584)),"staging",
ISNUMBER(SEARCH("prison",B584)),"prison",
ISNUMBER(SEARCH("penet",B584)),"prison",
ISNUMBER(SEARCH("jail",B584)),"jail",
ISNUMBER(SEARCH("detention",B584)),"detention",
ISNUMBER(SEARCH("sheriff",B584)),"sheriff/police",
ISNUMBER(SEARCH("police",B584)),"sheriff/police",
TRUE,""
)</f>
        <v>prison</v>
      </c>
      <c r="H584">
        <f>INDEX(Sheet2!B:B,MATCH(C584,Sheet2!A:A,0),1)</f>
        <v>2</v>
      </c>
      <c r="I584">
        <f>3-COUNTBLANK(D584:F584)</f>
        <v>0</v>
      </c>
      <c r="J584">
        <f>IF(I584&gt;=2,H584,0)</f>
        <v>0</v>
      </c>
    </row>
    <row r="585" spans="1:10" x14ac:dyDescent="0.3">
      <c r="A585" t="s">
        <v>1389</v>
      </c>
      <c r="B585" t="s">
        <v>428</v>
      </c>
      <c r="C585" t="s">
        <v>429</v>
      </c>
      <c r="D585" t="s">
        <v>125</v>
      </c>
      <c r="G585" t="str" cm="1">
        <f t="array" ref="G585">_xlfn.IFS(
ISNUMBER(SEARCH("hold",C585)),"hold",
ISNUMBER(SEARCH("youth",C585)),"youth",
ISNUMBER(SEARCH("juve",C585)),"youth",
OR(ISNUMBER(SEARCH("health",B585)),ISNUMBER(SEARCH("care ",B585)),ISNUMBER(SEARCH("psych",B585)),ISNUMBER(SEARCH("medical",B585)),ISNUMBER(SEARCH("hospital",B585))),"medical",
ISNUMBER(SEARCH("correct",B585)),"correctional",
ISNUMBER(SEARCH("process",B585)),"processing",
ISNUMBER(SEARCH("detention center",B585)),"detention",
ISNUMBER(SEARCH("detention fac",B585)),"detention",
ISNUMBER(SEARCH("staging",B585)),"staging",
ISNUMBER(SEARCH("prison",B585)),"prison",
ISNUMBER(SEARCH("penet",B585)),"prison",
ISNUMBER(SEARCH("jail",B585)),"jail",
ISNUMBER(SEARCH("detention",B585)),"detention",
ISNUMBER(SEARCH("sheriff",B585)),"sheriff/police",
ISNUMBER(SEARCH("police",B585)),"sheriff/police",
TRUE,""
)</f>
        <v>detention</v>
      </c>
      <c r="H585">
        <f>INDEX(Sheet2!B:B,MATCH(C585,Sheet2!A:A,0),1)</f>
        <v>2</v>
      </c>
      <c r="I585">
        <f>3-COUNTBLANK(D585:F585)</f>
        <v>1</v>
      </c>
      <c r="J585">
        <f>IF(I585&gt;=2,H585,0)</f>
        <v>0</v>
      </c>
    </row>
    <row r="586" spans="1:10" x14ac:dyDescent="0.3">
      <c r="A586" t="s">
        <v>1377</v>
      </c>
      <c r="B586" t="s">
        <v>1091</v>
      </c>
      <c r="C586" t="s">
        <v>1092</v>
      </c>
      <c r="D586" t="s">
        <v>50</v>
      </c>
      <c r="F586" t="s">
        <v>1091</v>
      </c>
      <c r="G586" t="str" cm="1">
        <f t="array" ref="G586">_xlfn.IFS(
ISNUMBER(SEARCH("hold",C586)),"hold",
ISNUMBER(SEARCH("youth",C586)),"youth",
ISNUMBER(SEARCH("juve",C586)),"youth",
OR(ISNUMBER(SEARCH("health",B586)),ISNUMBER(SEARCH("care ",B586)),ISNUMBER(SEARCH("psych",B586)),ISNUMBER(SEARCH("medical",B586)),ISNUMBER(SEARCH("hospital",B586))),"medical",
ISNUMBER(SEARCH("correct",B586)),"correctional",
ISNUMBER(SEARCH("process",B586)),"processing",
ISNUMBER(SEARCH("detention center",B586)),"detention",
ISNUMBER(SEARCH("detention fac",B586)),"detention",
ISNUMBER(SEARCH("staging",B586)),"staging",
ISNUMBER(SEARCH("prison",B586)),"prison",
ISNUMBER(SEARCH("penet",B586)),"prison",
ISNUMBER(SEARCH("jail",B586)),"jail",
ISNUMBER(SEARCH("detention",B586)),"detention",
ISNUMBER(SEARCH("sheriff",B586)),"sheriff/police",
ISNUMBER(SEARCH("police",B586)),"sheriff/police",
TRUE,""
)</f>
        <v/>
      </c>
      <c r="H586">
        <f>INDEX(Sheet2!B:B,MATCH(C586,Sheet2!A:A,0),1)</f>
        <v>2</v>
      </c>
      <c r="I586">
        <f>3-COUNTBLANK(D586:F586)</f>
        <v>2</v>
      </c>
      <c r="J586">
        <f>IF(I586&gt;=2,H586,0)</f>
        <v>2</v>
      </c>
    </row>
    <row r="587" spans="1:10" x14ac:dyDescent="0.3">
      <c r="A587" t="s">
        <v>1396</v>
      </c>
      <c r="B587" t="s">
        <v>1177</v>
      </c>
      <c r="C587" t="s">
        <v>1178</v>
      </c>
      <c r="D587" t="s">
        <v>72</v>
      </c>
      <c r="G587" t="str" cm="1">
        <f t="array" ref="G587">_xlfn.IFS(
ISNUMBER(SEARCH("hold",C587)),"hold",
ISNUMBER(SEARCH("youth",C587)),"youth",
ISNUMBER(SEARCH("juve",C587)),"youth",
OR(ISNUMBER(SEARCH("health",B587)),ISNUMBER(SEARCH("care ",B587)),ISNUMBER(SEARCH("psych",B587)),ISNUMBER(SEARCH("medical",B587)),ISNUMBER(SEARCH("hospital",B587))),"medical",
ISNUMBER(SEARCH("correct",B587)),"correctional",
ISNUMBER(SEARCH("process",B587)),"processing",
ISNUMBER(SEARCH("detention center",B587)),"detention",
ISNUMBER(SEARCH("detention fac",B587)),"detention",
ISNUMBER(SEARCH("staging",B587)),"staging",
ISNUMBER(SEARCH("prison",B587)),"prison",
ISNUMBER(SEARCH("penet",B587)),"prison",
ISNUMBER(SEARCH("jail",B587)),"jail",
ISNUMBER(SEARCH("detention",B587)),"detention",
ISNUMBER(SEARCH("sheriff",B587)),"sheriff/police",
ISNUMBER(SEARCH("police",B587)),"sheriff/police",
TRUE,""
)</f>
        <v>detention</v>
      </c>
      <c r="H587">
        <f>INDEX(Sheet2!B:B,MATCH(C587,Sheet2!A:A,0),1)</f>
        <v>2</v>
      </c>
      <c r="I587">
        <f>3-COUNTBLANK(D587:F587)</f>
        <v>1</v>
      </c>
      <c r="J587">
        <f>IF(I587&gt;=2,H587,0)</f>
        <v>0</v>
      </c>
    </row>
    <row r="588" spans="1:10" x14ac:dyDescent="0.3">
      <c r="A588" t="s">
        <v>1399</v>
      </c>
      <c r="B588" t="s">
        <v>655</v>
      </c>
      <c r="C588" t="s">
        <v>656</v>
      </c>
      <c r="D588" t="s">
        <v>72</v>
      </c>
      <c r="G588" t="str" cm="1">
        <f t="array" ref="G588">_xlfn.IFS(
ISNUMBER(SEARCH("hold",C588)),"hold",
ISNUMBER(SEARCH("youth",C588)),"youth",
ISNUMBER(SEARCH("juve",C588)),"youth",
OR(ISNUMBER(SEARCH("health",B588)),ISNUMBER(SEARCH("care ",B588)),ISNUMBER(SEARCH("psych",B588)),ISNUMBER(SEARCH("medical",B588)),ISNUMBER(SEARCH("hospital",B588))),"medical",
ISNUMBER(SEARCH("correct",B588)),"correctional",
ISNUMBER(SEARCH("process",B588)),"processing",
ISNUMBER(SEARCH("detention center",B588)),"detention",
ISNUMBER(SEARCH("detention fac",B588)),"detention",
ISNUMBER(SEARCH("staging",B588)),"staging",
ISNUMBER(SEARCH("prison",B588)),"prison",
ISNUMBER(SEARCH("penet",B588)),"prison",
ISNUMBER(SEARCH("jail",B588)),"jail",
ISNUMBER(SEARCH("detention",B588)),"detention",
ISNUMBER(SEARCH("sheriff",B588)),"sheriff/police",
ISNUMBER(SEARCH("police",B588)),"sheriff/police",
TRUE,""
)</f>
        <v>medical</v>
      </c>
      <c r="H588">
        <f>INDEX(Sheet2!B:B,MATCH(C588,Sheet2!A:A,0),1)</f>
        <v>2</v>
      </c>
      <c r="I588">
        <f>3-COUNTBLANK(D588:F588)</f>
        <v>1</v>
      </c>
      <c r="J588">
        <f>IF(I588&gt;=2,H588,0)</f>
        <v>0</v>
      </c>
    </row>
    <row r="589" spans="1:10" x14ac:dyDescent="0.3">
      <c r="A589" t="s">
        <v>462</v>
      </c>
      <c r="B589" t="s">
        <v>2535</v>
      </c>
      <c r="C589" t="s">
        <v>1121</v>
      </c>
      <c r="D589" t="s">
        <v>50</v>
      </c>
      <c r="G589" t="str" cm="1">
        <f t="array" ref="G589">_xlfn.IFS(
ISNUMBER(SEARCH("hold",C589)),"hold",
ISNUMBER(SEARCH("youth",C589)),"youth",
ISNUMBER(SEARCH("juve",C589)),"youth",
OR(ISNUMBER(SEARCH("health",B589)),ISNUMBER(SEARCH("care ",B589)),ISNUMBER(SEARCH("psych",B589)),ISNUMBER(SEARCH("medical",B589)),ISNUMBER(SEARCH("hospital",B589))),"medical",
ISNUMBER(SEARCH("correct",B589)),"correctional",
ISNUMBER(SEARCH("process",B589)),"processing",
ISNUMBER(SEARCH("detention center",B589)),"detention",
ISNUMBER(SEARCH("detention fac",B589)),"detention",
ISNUMBER(SEARCH("staging",B589)),"staging",
ISNUMBER(SEARCH("prison",B589)),"prison",
ISNUMBER(SEARCH("penet",B589)),"prison",
ISNUMBER(SEARCH("jail",B589)),"jail",
ISNUMBER(SEARCH("detention",B589)),"detention",
ISNUMBER(SEARCH("sheriff",B589)),"sheriff/police",
ISNUMBER(SEARCH("police",B589)),"sheriff/police",
TRUE,""
)</f>
        <v/>
      </c>
      <c r="H589">
        <f>INDEX(Sheet2!B:B,MATCH(C589,Sheet2!A:A,0),1)</f>
        <v>454</v>
      </c>
      <c r="I589">
        <f>3-COUNTBLANK(D589:F589)</f>
        <v>1</v>
      </c>
      <c r="J589">
        <f>IF(I589&gt;=2,H589,0)</f>
        <v>0</v>
      </c>
    </row>
    <row r="590" spans="1:10" x14ac:dyDescent="0.3">
      <c r="A590" t="s">
        <v>1405</v>
      </c>
      <c r="B590" t="s">
        <v>598</v>
      </c>
      <c r="C590" t="s">
        <v>599</v>
      </c>
      <c r="D590" t="s">
        <v>23</v>
      </c>
      <c r="G590" t="str" cm="1">
        <f t="array" ref="G590">_xlfn.IFS(
ISNUMBER(SEARCH("hold",C590)),"hold",
ISNUMBER(SEARCH("youth",C590)),"youth",
ISNUMBER(SEARCH("juve",C590)),"youth",
OR(ISNUMBER(SEARCH("health",B590)),ISNUMBER(SEARCH("care ",B590)),ISNUMBER(SEARCH("psych",B590)),ISNUMBER(SEARCH("medical",B590)),ISNUMBER(SEARCH("hospital",B590))),"medical",
ISNUMBER(SEARCH("correct",B590)),"correctional",
ISNUMBER(SEARCH("process",B590)),"processing",
ISNUMBER(SEARCH("detention center",B590)),"detention",
ISNUMBER(SEARCH("detention fac",B590)),"detention",
ISNUMBER(SEARCH("staging",B590)),"staging",
ISNUMBER(SEARCH("prison",B590)),"prison",
ISNUMBER(SEARCH("penet",B590)),"prison",
ISNUMBER(SEARCH("jail",B590)),"jail",
ISNUMBER(SEARCH("detention",B590)),"detention",
ISNUMBER(SEARCH("sheriff",B590)),"sheriff/police",
ISNUMBER(SEARCH("police",B590)),"sheriff/police",
TRUE,""
)</f>
        <v>medical</v>
      </c>
      <c r="H590">
        <f>INDEX(Sheet2!B:B,MATCH(C590,Sheet2!A:A,0),1)</f>
        <v>2</v>
      </c>
      <c r="I590">
        <f>3-COUNTBLANK(D590:F590)</f>
        <v>1</v>
      </c>
      <c r="J590">
        <f>IF(I590&gt;=2,H590,0)</f>
        <v>0</v>
      </c>
    </row>
    <row r="591" spans="1:10" x14ac:dyDescent="0.3">
      <c r="A591" t="s">
        <v>1409</v>
      </c>
      <c r="B591" t="s">
        <v>737</v>
      </c>
      <c r="C591" t="s">
        <v>738</v>
      </c>
      <c r="D591" t="s">
        <v>31</v>
      </c>
      <c r="G591" t="str" cm="1">
        <f t="array" ref="G591">_xlfn.IFS(
ISNUMBER(SEARCH("hold",C591)),"hold",
ISNUMBER(SEARCH("youth",C591)),"youth",
ISNUMBER(SEARCH("juve",C591)),"youth",
OR(ISNUMBER(SEARCH("health",B591)),ISNUMBER(SEARCH("care ",B591)),ISNUMBER(SEARCH("psych",B591)),ISNUMBER(SEARCH("medical",B591)),ISNUMBER(SEARCH("hospital",B591))),"medical",
ISNUMBER(SEARCH("correct",B591)),"correctional",
ISNUMBER(SEARCH("process",B591)),"processing",
ISNUMBER(SEARCH("detention center",B591)),"detention",
ISNUMBER(SEARCH("detention fac",B591)),"detention",
ISNUMBER(SEARCH("staging",B591)),"staging",
ISNUMBER(SEARCH("prison",B591)),"prison",
ISNUMBER(SEARCH("penet",B591)),"prison",
ISNUMBER(SEARCH("jail",B591)),"jail",
ISNUMBER(SEARCH("detention",B591)),"detention",
ISNUMBER(SEARCH("sheriff",B591)),"sheriff/police",
ISNUMBER(SEARCH("police",B591)),"sheriff/police",
TRUE,""
)</f>
        <v>medical</v>
      </c>
      <c r="H591">
        <f>INDEX(Sheet2!B:B,MATCH(C591,Sheet2!A:A,0),1)</f>
        <v>2</v>
      </c>
      <c r="I591">
        <f>3-COUNTBLANK(D591:F591)</f>
        <v>1</v>
      </c>
      <c r="J591">
        <f>IF(I591&gt;=2,H591,0)</f>
        <v>0</v>
      </c>
    </row>
    <row r="592" spans="1:10" x14ac:dyDescent="0.3">
      <c r="A592" t="s">
        <v>1412</v>
      </c>
      <c r="B592" t="s">
        <v>389</v>
      </c>
      <c r="C592" t="s">
        <v>390</v>
      </c>
      <c r="G592" t="str" cm="1">
        <f t="array" ref="G592">_xlfn.IFS(
ISNUMBER(SEARCH("hold",C592)),"hold",
ISNUMBER(SEARCH("youth",C592)),"youth",
ISNUMBER(SEARCH("juve",C592)),"youth",
OR(ISNUMBER(SEARCH("health",B592)),ISNUMBER(SEARCH("care ",B592)),ISNUMBER(SEARCH("psych",B592)),ISNUMBER(SEARCH("medical",B592)),ISNUMBER(SEARCH("hospital",B592))),"medical",
ISNUMBER(SEARCH("correct",B592)),"correctional",
ISNUMBER(SEARCH("process",B592)),"processing",
ISNUMBER(SEARCH("detention center",B592)),"detention",
ISNUMBER(SEARCH("detention fac",B592)),"detention",
ISNUMBER(SEARCH("staging",B592)),"staging",
ISNUMBER(SEARCH("prison",B592)),"prison",
ISNUMBER(SEARCH("penet",B592)),"prison",
ISNUMBER(SEARCH("jail",B592)),"jail",
ISNUMBER(SEARCH("detention",B592)),"detention",
ISNUMBER(SEARCH("sheriff",B592)),"sheriff/police",
ISNUMBER(SEARCH("police",B592)),"sheriff/police",
TRUE,""
)</f>
        <v>correctional</v>
      </c>
      <c r="H592">
        <f>INDEX(Sheet2!B:B,MATCH(C592,Sheet2!A:A,0),1)</f>
        <v>2</v>
      </c>
      <c r="I592">
        <f>3-COUNTBLANK(D592:F592)</f>
        <v>0</v>
      </c>
      <c r="J592">
        <f>IF(I592&gt;=2,H592,0)</f>
        <v>0</v>
      </c>
    </row>
    <row r="593" spans="1:10" x14ac:dyDescent="0.3">
      <c r="A593" t="s">
        <v>820</v>
      </c>
      <c r="B593" t="s">
        <v>1248</v>
      </c>
      <c r="C593" t="s">
        <v>1249</v>
      </c>
      <c r="D593" t="s">
        <v>133</v>
      </c>
      <c r="F593" t="s">
        <v>2364</v>
      </c>
      <c r="G593" t="str" cm="1">
        <f t="array" ref="G593">_xlfn.IFS(
ISNUMBER(SEARCH("hold",C593)),"hold",
ISNUMBER(SEARCH("youth",C593)),"youth",
ISNUMBER(SEARCH("juve",C593)),"youth",
OR(ISNUMBER(SEARCH("health",B593)),ISNUMBER(SEARCH("care ",B593)),ISNUMBER(SEARCH("psych",B593)),ISNUMBER(SEARCH("medical",B593)),ISNUMBER(SEARCH("hospital",B593))),"medical",
ISNUMBER(SEARCH("correct",B593)),"correctional",
ISNUMBER(SEARCH("process",B593)),"processing",
ISNUMBER(SEARCH("detention center",B593)),"detention",
ISNUMBER(SEARCH("detention fac",B593)),"detention",
ISNUMBER(SEARCH("staging",B593)),"staging",
ISNUMBER(SEARCH("prison",B593)),"prison",
ISNUMBER(SEARCH("penet",B593)),"prison",
ISNUMBER(SEARCH("jail",B593)),"jail",
ISNUMBER(SEARCH("detention",B593)),"detention",
ISNUMBER(SEARCH("sheriff",B593)),"sheriff/police",
ISNUMBER(SEARCH("police",B593)),"sheriff/police",
TRUE,""
)</f>
        <v>sheriff/police</v>
      </c>
      <c r="H593">
        <f>INDEX(Sheet2!B:B,MATCH(C593,Sheet2!A:A,0),1)</f>
        <v>115</v>
      </c>
      <c r="I593">
        <f>3-COUNTBLANK(D593:F593)</f>
        <v>2</v>
      </c>
      <c r="J593">
        <f>IF(I593&gt;=2,H593,0)</f>
        <v>115</v>
      </c>
    </row>
    <row r="594" spans="1:10" x14ac:dyDescent="0.3">
      <c r="A594" t="s">
        <v>1418</v>
      </c>
      <c r="B594" t="s">
        <v>1231</v>
      </c>
      <c r="C594" t="s">
        <v>1232</v>
      </c>
      <c r="D594" t="s">
        <v>31</v>
      </c>
      <c r="G594" t="str" cm="1">
        <f t="array" ref="G594">_xlfn.IFS(
ISNUMBER(SEARCH("hold",C594)),"hold",
ISNUMBER(SEARCH("youth",C594)),"youth",
ISNUMBER(SEARCH("juve",C594)),"youth",
OR(ISNUMBER(SEARCH("health",B594)),ISNUMBER(SEARCH("care ",B594)),ISNUMBER(SEARCH("psych",B594)),ISNUMBER(SEARCH("medical",B594)),ISNUMBER(SEARCH("hospital",B594))),"medical",
ISNUMBER(SEARCH("correct",B594)),"correctional",
ISNUMBER(SEARCH("process",B594)),"processing",
ISNUMBER(SEARCH("detention center",B594)),"detention",
ISNUMBER(SEARCH("detention fac",B594)),"detention",
ISNUMBER(SEARCH("staging",B594)),"staging",
ISNUMBER(SEARCH("prison",B594)),"prison",
ISNUMBER(SEARCH("penet",B594)),"prison",
ISNUMBER(SEARCH("jail",B594)),"jail",
ISNUMBER(SEARCH("detention",B594)),"detention",
ISNUMBER(SEARCH("sheriff",B594)),"sheriff/police",
ISNUMBER(SEARCH("police",B594)),"sheriff/police",
TRUE,""
)</f>
        <v>jail</v>
      </c>
      <c r="H594">
        <f>INDEX(Sheet2!B:B,MATCH(C594,Sheet2!A:A,0),1)</f>
        <v>2</v>
      </c>
      <c r="I594">
        <f>3-COUNTBLANK(D594:F594)</f>
        <v>1</v>
      </c>
      <c r="J594">
        <f>IF(I594&gt;=2,H594,0)</f>
        <v>0</v>
      </c>
    </row>
    <row r="595" spans="1:10" x14ac:dyDescent="0.3">
      <c r="A595" t="s">
        <v>1684</v>
      </c>
      <c r="B595" t="s">
        <v>2413</v>
      </c>
      <c r="C595" t="s">
        <v>1302</v>
      </c>
      <c r="D595" t="s">
        <v>72</v>
      </c>
      <c r="E595" t="s">
        <v>2412</v>
      </c>
      <c r="G595" t="str" cm="1">
        <f t="array" ref="G595">_xlfn.IFS(
ISNUMBER(SEARCH("hold",C595)),"hold",
ISNUMBER(SEARCH("youth",C595)),"youth",
ISNUMBER(SEARCH("juve",C595)),"youth",
OR(ISNUMBER(SEARCH("health",B595)),ISNUMBER(SEARCH("care ",B595)),ISNUMBER(SEARCH("psych",B595)),ISNUMBER(SEARCH("medical",B595)),ISNUMBER(SEARCH("hospital",B595))),"medical",
ISNUMBER(SEARCH("correct",B595)),"correctional",
ISNUMBER(SEARCH("process",B595)),"processing",
ISNUMBER(SEARCH("detention center",B595)),"detention",
ISNUMBER(SEARCH("detention fac",B595)),"detention",
ISNUMBER(SEARCH("staging",B595)),"staging",
ISNUMBER(SEARCH("prison",B595)),"prison",
ISNUMBER(SEARCH("penet",B595)),"prison",
ISNUMBER(SEARCH("jail",B595)),"jail",
ISNUMBER(SEARCH("detention",B595)),"detention",
ISNUMBER(SEARCH("sheriff",B595)),"sheriff/police",
ISNUMBER(SEARCH("police",B595)),"sheriff/police",
TRUE,""
)</f>
        <v/>
      </c>
      <c r="H595">
        <f>INDEX(Sheet2!B:B,MATCH(C595,Sheet2!A:A,0),1)</f>
        <v>14912</v>
      </c>
      <c r="I595">
        <f>3-COUNTBLANK(D595:F595)</f>
        <v>2</v>
      </c>
      <c r="J595">
        <f>IF(I595&gt;=2,H595,0)</f>
        <v>14912</v>
      </c>
    </row>
    <row r="596" spans="1:10" x14ac:dyDescent="0.3">
      <c r="A596" t="s">
        <v>1424</v>
      </c>
      <c r="B596" t="s">
        <v>1715</v>
      </c>
      <c r="C596" t="s">
        <v>1716</v>
      </c>
      <c r="D596" t="s">
        <v>134</v>
      </c>
      <c r="E596" t="s">
        <v>2420</v>
      </c>
      <c r="G596" t="str" cm="1">
        <f t="array" ref="G596">_xlfn.IFS(
ISNUMBER(SEARCH("hold",C596)),"hold",
ISNUMBER(SEARCH("youth",C596)),"youth",
ISNUMBER(SEARCH("juve",C596)),"youth",
OR(ISNUMBER(SEARCH("health",B596)),ISNUMBER(SEARCH("care ",B596)),ISNUMBER(SEARCH("psych",B596)),ISNUMBER(SEARCH("medical",B596)),ISNUMBER(SEARCH("hospital",B596))),"medical",
ISNUMBER(SEARCH("correct",B596)),"correctional",
ISNUMBER(SEARCH("process",B596)),"processing",
ISNUMBER(SEARCH("detention center",B596)),"detention",
ISNUMBER(SEARCH("detention fac",B596)),"detention",
ISNUMBER(SEARCH("staging",B596)),"staging",
ISNUMBER(SEARCH("prison",B596)),"prison",
ISNUMBER(SEARCH("penet",B596)),"prison",
ISNUMBER(SEARCH("jail",B596)),"jail",
ISNUMBER(SEARCH("detention",B596)),"detention",
ISNUMBER(SEARCH("sheriff",B596)),"sheriff/police",
ISNUMBER(SEARCH("police",B596)),"sheriff/police",
TRUE,""
)</f>
        <v>hold</v>
      </c>
      <c r="H596">
        <f>INDEX(Sheet2!B:B,MATCH(C596,Sheet2!A:A,0),1)</f>
        <v>1</v>
      </c>
      <c r="I596">
        <f>3-COUNTBLANK(D596:F596)</f>
        <v>2</v>
      </c>
      <c r="J596">
        <f>IF(I596&gt;=2,H596,0)</f>
        <v>1</v>
      </c>
    </row>
    <row r="597" spans="1:10" x14ac:dyDescent="0.3">
      <c r="A597" t="s">
        <v>1449</v>
      </c>
      <c r="B597" t="s">
        <v>377</v>
      </c>
      <c r="C597" t="s">
        <v>378</v>
      </c>
      <c r="D597" t="s">
        <v>68</v>
      </c>
      <c r="E597" t="s">
        <v>2499</v>
      </c>
      <c r="G597" t="str" cm="1">
        <f t="array" ref="G597">_xlfn.IFS(
ISNUMBER(SEARCH("hold",C597)),"hold",
ISNUMBER(SEARCH("youth",C597)),"youth",
ISNUMBER(SEARCH("juve",C597)),"youth",
OR(ISNUMBER(SEARCH("health",B597)),ISNUMBER(SEARCH("care ",B597)),ISNUMBER(SEARCH("psych",B597)),ISNUMBER(SEARCH("medical",B597)),ISNUMBER(SEARCH("hospital",B597))),"medical",
ISNUMBER(SEARCH("correct",B597)),"correctional",
ISNUMBER(SEARCH("process",B597)),"processing",
ISNUMBER(SEARCH("detention center",B597)),"detention",
ISNUMBER(SEARCH("detention fac",B597)),"detention",
ISNUMBER(SEARCH("staging",B597)),"staging",
ISNUMBER(SEARCH("prison",B597)),"prison",
ISNUMBER(SEARCH("penet",B597)),"prison",
ISNUMBER(SEARCH("jail",B597)),"jail",
ISNUMBER(SEARCH("detention",B597)),"detention",
ISNUMBER(SEARCH("sheriff",B597)),"sheriff/police",
ISNUMBER(SEARCH("police",B597)),"sheriff/police",
TRUE,""
)</f>
        <v>hold</v>
      </c>
      <c r="H597">
        <f>INDEX(Sheet2!B:B,MATCH(C597,Sheet2!A:A,0),1)</f>
        <v>1</v>
      </c>
      <c r="I597">
        <f>3-COUNTBLANK(D597:F597)</f>
        <v>2</v>
      </c>
      <c r="J597">
        <f>IF(I597&gt;=2,H597,0)</f>
        <v>1</v>
      </c>
    </row>
    <row r="598" spans="1:10" x14ac:dyDescent="0.3">
      <c r="A598" t="s">
        <v>1321</v>
      </c>
      <c r="B598" t="s">
        <v>2567</v>
      </c>
      <c r="C598" t="s">
        <v>1372</v>
      </c>
      <c r="D598" t="s">
        <v>72</v>
      </c>
      <c r="F598" t="s">
        <v>2385</v>
      </c>
      <c r="G598" t="str" cm="1">
        <f t="array" ref="G598">_xlfn.IFS(
ISNUMBER(SEARCH("hold",C598)),"hold",
ISNUMBER(SEARCH("youth",C598)),"youth",
ISNUMBER(SEARCH("juve",C598)),"youth",
OR(ISNUMBER(SEARCH("health",B598)),ISNUMBER(SEARCH("care ",B598)),ISNUMBER(SEARCH("psych",B598)),ISNUMBER(SEARCH("medical",B598)),ISNUMBER(SEARCH("hospital",B598))),"medical",
ISNUMBER(SEARCH("correct",B598)),"correctional",
ISNUMBER(SEARCH("process",B598)),"processing",
ISNUMBER(SEARCH("detention center",B598)),"detention",
ISNUMBER(SEARCH("detention fac",B598)),"detention",
ISNUMBER(SEARCH("staging",B598)),"staging",
ISNUMBER(SEARCH("prison",B598)),"prison",
ISNUMBER(SEARCH("penet",B598)),"prison",
ISNUMBER(SEARCH("jail",B598)),"jail",
ISNUMBER(SEARCH("detention",B598)),"detention",
ISNUMBER(SEARCH("sheriff",B598)),"sheriff/police",
ISNUMBER(SEARCH("police",B598)),"sheriff/police",
TRUE,""
)</f>
        <v>detention</v>
      </c>
      <c r="H598">
        <f>INDEX(Sheet2!B:B,MATCH(C598,Sheet2!A:A,0),1)</f>
        <v>3</v>
      </c>
      <c r="I598">
        <f>3-COUNTBLANK(D598:F598)</f>
        <v>2</v>
      </c>
      <c r="J598">
        <f>IF(I598&gt;=2,H598,0)</f>
        <v>3</v>
      </c>
    </row>
    <row r="599" spans="1:10" x14ac:dyDescent="0.3">
      <c r="A599" t="s">
        <v>1430</v>
      </c>
      <c r="B599" t="s">
        <v>365</v>
      </c>
      <c r="C599" t="s">
        <v>366</v>
      </c>
      <c r="G599" t="str" cm="1">
        <f t="array" ref="G599">_xlfn.IFS(
ISNUMBER(SEARCH("hold",C599)),"hold",
ISNUMBER(SEARCH("youth",C599)),"youth",
ISNUMBER(SEARCH("juve",C599)),"youth",
OR(ISNUMBER(SEARCH("health",B599)),ISNUMBER(SEARCH("care ",B599)),ISNUMBER(SEARCH("psych",B599)),ISNUMBER(SEARCH("medical",B599)),ISNUMBER(SEARCH("hospital",B599))),"medical",
ISNUMBER(SEARCH("correct",B599)),"correctional",
ISNUMBER(SEARCH("process",B599)),"processing",
ISNUMBER(SEARCH("detention center",B599)),"detention",
ISNUMBER(SEARCH("detention fac",B599)),"detention",
ISNUMBER(SEARCH("staging",B599)),"staging",
ISNUMBER(SEARCH("prison",B599)),"prison",
ISNUMBER(SEARCH("penet",B599)),"prison",
ISNUMBER(SEARCH("jail",B599)),"jail",
ISNUMBER(SEARCH("detention",B599)),"detention",
ISNUMBER(SEARCH("sheriff",B599)),"sheriff/police",
ISNUMBER(SEARCH("police",B599)),"sheriff/police",
TRUE,""
)</f>
        <v>correctional</v>
      </c>
      <c r="H599">
        <f>INDEX(Sheet2!B:B,MATCH(C599,Sheet2!A:A,0),1)</f>
        <v>1</v>
      </c>
      <c r="I599">
        <f>3-COUNTBLANK(D599:F599)</f>
        <v>0</v>
      </c>
      <c r="J599">
        <f>IF(I599&gt;=2,H599,0)</f>
        <v>0</v>
      </c>
    </row>
    <row r="600" spans="1:10" x14ac:dyDescent="0.3">
      <c r="A600" t="s">
        <v>1433</v>
      </c>
      <c r="B600" t="s">
        <v>1639</v>
      </c>
      <c r="C600" t="s">
        <v>1640</v>
      </c>
      <c r="D600" t="s">
        <v>14</v>
      </c>
      <c r="F600" t="s">
        <v>1641</v>
      </c>
      <c r="G600" t="str" cm="1">
        <f t="array" ref="G600">_xlfn.IFS(
ISNUMBER(SEARCH("hold",C600)),"hold",
ISNUMBER(SEARCH("youth",C600)),"youth",
ISNUMBER(SEARCH("juve",C600)),"youth",
OR(ISNUMBER(SEARCH("health",B600)),ISNUMBER(SEARCH("care ",B600)),ISNUMBER(SEARCH("psych",B600)),ISNUMBER(SEARCH("medical",B600)),ISNUMBER(SEARCH("hospital",B600))),"medical",
ISNUMBER(SEARCH("correct",B600)),"correctional",
ISNUMBER(SEARCH("process",B600)),"processing",
ISNUMBER(SEARCH("detention center",B600)),"detention",
ISNUMBER(SEARCH("detention fac",B600)),"detention",
ISNUMBER(SEARCH("staging",B600)),"staging",
ISNUMBER(SEARCH("prison",B600)),"prison",
ISNUMBER(SEARCH("penet",B600)),"prison",
ISNUMBER(SEARCH("jail",B600)),"jail",
ISNUMBER(SEARCH("detention",B600)),"detention",
ISNUMBER(SEARCH("sheriff",B600)),"sheriff/police",
ISNUMBER(SEARCH("police",B600)),"sheriff/police",
TRUE,""
)</f>
        <v>detention</v>
      </c>
      <c r="H600">
        <f>INDEX(Sheet2!B:B,MATCH(C600,Sheet2!A:A,0),1)</f>
        <v>1</v>
      </c>
      <c r="I600">
        <f>3-COUNTBLANK(D600:F600)</f>
        <v>2</v>
      </c>
      <c r="J600">
        <f>IF(I600&gt;=2,H600,0)</f>
        <v>1</v>
      </c>
    </row>
    <row r="601" spans="1:10" x14ac:dyDescent="0.3">
      <c r="A601" t="s">
        <v>1767</v>
      </c>
      <c r="B601" t="s">
        <v>1397</v>
      </c>
      <c r="C601" t="s">
        <v>1398</v>
      </c>
      <c r="D601" t="s">
        <v>152</v>
      </c>
      <c r="F601" t="s">
        <v>2256</v>
      </c>
      <c r="G601" t="str" cm="1">
        <f t="array" ref="G601">_xlfn.IFS(
ISNUMBER(SEARCH("hold",C601)),"hold",
ISNUMBER(SEARCH("youth",C601)),"youth",
ISNUMBER(SEARCH("juve",C601)),"youth",
OR(ISNUMBER(SEARCH("health",B601)),ISNUMBER(SEARCH("care ",B601)),ISNUMBER(SEARCH("psych",B601)),ISNUMBER(SEARCH("medical",B601)),ISNUMBER(SEARCH("hospital",B601))),"medical",
ISNUMBER(SEARCH("correct",B601)),"correctional",
ISNUMBER(SEARCH("process",B601)),"processing",
ISNUMBER(SEARCH("detention center",B601)),"detention",
ISNUMBER(SEARCH("detention fac",B601)),"detention",
ISNUMBER(SEARCH("staging",B601)),"staging",
ISNUMBER(SEARCH("prison",B601)),"prison",
ISNUMBER(SEARCH("penet",B601)),"prison",
ISNUMBER(SEARCH("jail",B601)),"jail",
ISNUMBER(SEARCH("detention",B601)),"detention",
ISNUMBER(SEARCH("sheriff",B601)),"sheriff/police",
ISNUMBER(SEARCH("police",B601)),"sheriff/police",
TRUE,""
)</f>
        <v/>
      </c>
      <c r="H601">
        <f>INDEX(Sheet2!B:B,MATCH(C601,Sheet2!A:A,0),1)</f>
        <v>7267</v>
      </c>
      <c r="I601">
        <f>3-COUNTBLANK(D601:F601)</f>
        <v>2</v>
      </c>
      <c r="J601">
        <f>IF(I601&gt;=2,H601,0)</f>
        <v>7267</v>
      </c>
    </row>
    <row r="602" spans="1:10" x14ac:dyDescent="0.3">
      <c r="A602" t="s">
        <v>1442</v>
      </c>
      <c r="B602" t="s">
        <v>1704</v>
      </c>
      <c r="C602" t="s">
        <v>1705</v>
      </c>
      <c r="D602" t="s">
        <v>95</v>
      </c>
      <c r="F602" t="s">
        <v>2280</v>
      </c>
      <c r="G602" t="str" cm="1">
        <f t="array" ref="G602">_xlfn.IFS(
ISNUMBER(SEARCH("hold",C602)),"hold",
ISNUMBER(SEARCH("youth",C602)),"youth",
ISNUMBER(SEARCH("juve",C602)),"youth",
OR(ISNUMBER(SEARCH("health",B602)),ISNUMBER(SEARCH("care ",B602)),ISNUMBER(SEARCH("psych",B602)),ISNUMBER(SEARCH("medical",B602)),ISNUMBER(SEARCH("hospital",B602))),"medical",
ISNUMBER(SEARCH("correct",B602)),"correctional",
ISNUMBER(SEARCH("process",B602)),"processing",
ISNUMBER(SEARCH("detention center",B602)),"detention",
ISNUMBER(SEARCH("detention fac",B602)),"detention",
ISNUMBER(SEARCH("staging",B602)),"staging",
ISNUMBER(SEARCH("prison",B602)),"prison",
ISNUMBER(SEARCH("penet",B602)),"prison",
ISNUMBER(SEARCH("jail",B602)),"jail",
ISNUMBER(SEARCH("detention",B602)),"detention",
ISNUMBER(SEARCH("sheriff",B602)),"sheriff/police",
ISNUMBER(SEARCH("police",B602)),"sheriff/police",
TRUE,""
)</f>
        <v>jail</v>
      </c>
      <c r="H602">
        <f>INDEX(Sheet2!B:B,MATCH(C602,Sheet2!A:A,0),1)</f>
        <v>1</v>
      </c>
      <c r="I602">
        <f>3-COUNTBLANK(D602:F602)</f>
        <v>2</v>
      </c>
      <c r="J602">
        <f>IF(I602&gt;=2,H602,0)</f>
        <v>1</v>
      </c>
    </row>
    <row r="603" spans="1:10" x14ac:dyDescent="0.3">
      <c r="A603" t="s">
        <v>1442</v>
      </c>
      <c r="B603" t="s">
        <v>1352</v>
      </c>
      <c r="C603" t="s">
        <v>1353</v>
      </c>
      <c r="D603" t="s">
        <v>6</v>
      </c>
      <c r="F603" t="s">
        <v>2307</v>
      </c>
      <c r="G603" t="str" cm="1">
        <f t="array" ref="G603">_xlfn.IFS(
ISNUMBER(SEARCH("hold",C603)),"hold",
ISNUMBER(SEARCH("youth",C603)),"youth",
ISNUMBER(SEARCH("juve",C603)),"youth",
OR(ISNUMBER(SEARCH("health",B603)),ISNUMBER(SEARCH("care ",B603)),ISNUMBER(SEARCH("psych",B603)),ISNUMBER(SEARCH("medical",B603)),ISNUMBER(SEARCH("hospital",B603))),"medical",
ISNUMBER(SEARCH("correct",B603)),"correctional",
ISNUMBER(SEARCH("process",B603)),"processing",
ISNUMBER(SEARCH("detention center",B603)),"detention",
ISNUMBER(SEARCH("detention fac",B603)),"detention",
ISNUMBER(SEARCH("staging",B603)),"staging",
ISNUMBER(SEARCH("prison",B603)),"prison",
ISNUMBER(SEARCH("penet",B603)),"prison",
ISNUMBER(SEARCH("jail",B603)),"jail",
ISNUMBER(SEARCH("detention",B603)),"detention",
ISNUMBER(SEARCH("sheriff",B603)),"sheriff/police",
ISNUMBER(SEARCH("police",B603)),"sheriff/police",
TRUE,""
)</f>
        <v>jail</v>
      </c>
      <c r="H603">
        <f>INDEX(Sheet2!B:B,MATCH(C603,Sheet2!A:A,0),1)</f>
        <v>1</v>
      </c>
      <c r="I603">
        <f>3-COUNTBLANK(D603:F603)</f>
        <v>2</v>
      </c>
      <c r="J603">
        <f>IF(I603&gt;=2,H603,0)</f>
        <v>1</v>
      </c>
    </row>
    <row r="604" spans="1:10" x14ac:dyDescent="0.3">
      <c r="A604" t="s">
        <v>1439</v>
      </c>
      <c r="B604" t="s">
        <v>302</v>
      </c>
      <c r="C604" t="s">
        <v>303</v>
      </c>
      <c r="D604" t="s">
        <v>159</v>
      </c>
      <c r="F604" t="s">
        <v>2314</v>
      </c>
      <c r="G604" t="str" cm="1">
        <f t="array" ref="G604">_xlfn.IFS(
ISNUMBER(SEARCH("hold",C604)),"hold",
ISNUMBER(SEARCH("youth",C604)),"youth",
ISNUMBER(SEARCH("juve",C604)),"youth",
OR(ISNUMBER(SEARCH("health",B604)),ISNUMBER(SEARCH("care ",B604)),ISNUMBER(SEARCH("psych",B604)),ISNUMBER(SEARCH("medical",B604)),ISNUMBER(SEARCH("hospital",B604))),"medical",
ISNUMBER(SEARCH("correct",B604)),"correctional",
ISNUMBER(SEARCH("process",B604)),"processing",
ISNUMBER(SEARCH("detention center",B604)),"detention",
ISNUMBER(SEARCH("detention fac",B604)),"detention",
ISNUMBER(SEARCH("staging",B604)),"staging",
ISNUMBER(SEARCH("prison",B604)),"prison",
ISNUMBER(SEARCH("penet",B604)),"prison",
ISNUMBER(SEARCH("jail",B604)),"jail",
ISNUMBER(SEARCH("detention",B604)),"detention",
ISNUMBER(SEARCH("sheriff",B604)),"sheriff/police",
ISNUMBER(SEARCH("police",B604)),"sheriff/police",
TRUE,""
)</f>
        <v>jail</v>
      </c>
      <c r="H604">
        <f>INDEX(Sheet2!B:B,MATCH(C604,Sheet2!A:A,0),1)</f>
        <v>1</v>
      </c>
      <c r="I604">
        <f>3-COUNTBLANK(D604:F604)</f>
        <v>2</v>
      </c>
      <c r="J604">
        <f>IF(I604&gt;=2,H604,0)</f>
        <v>1</v>
      </c>
    </row>
    <row r="605" spans="1:10" x14ac:dyDescent="0.3">
      <c r="A605" t="s">
        <v>1446</v>
      </c>
      <c r="B605" t="s">
        <v>317</v>
      </c>
      <c r="C605" t="s">
        <v>318</v>
      </c>
      <c r="D605" t="s">
        <v>108</v>
      </c>
      <c r="F605" t="s">
        <v>319</v>
      </c>
      <c r="G605" t="str" cm="1">
        <f t="array" ref="G605">_xlfn.IFS(
ISNUMBER(SEARCH("hold",C605)),"hold",
ISNUMBER(SEARCH("youth",C605)),"youth",
ISNUMBER(SEARCH("juve",C605)),"youth",
OR(ISNUMBER(SEARCH("health",B605)),ISNUMBER(SEARCH("care ",B605)),ISNUMBER(SEARCH("psych",B605)),ISNUMBER(SEARCH("medical",B605)),ISNUMBER(SEARCH("hospital",B605))),"medical",
ISNUMBER(SEARCH("correct",B605)),"correctional",
ISNUMBER(SEARCH("process",B605)),"processing",
ISNUMBER(SEARCH("detention center",B605)),"detention",
ISNUMBER(SEARCH("detention fac",B605)),"detention",
ISNUMBER(SEARCH("staging",B605)),"staging",
ISNUMBER(SEARCH("prison",B605)),"prison",
ISNUMBER(SEARCH("penet",B605)),"prison",
ISNUMBER(SEARCH("jail",B605)),"jail",
ISNUMBER(SEARCH("detention",B605)),"detention",
ISNUMBER(SEARCH("sheriff",B605)),"sheriff/police",
ISNUMBER(SEARCH("police",B605)),"sheriff/police",
TRUE,""
)</f>
        <v>detention</v>
      </c>
      <c r="H605">
        <f>INDEX(Sheet2!B:B,MATCH(C605,Sheet2!A:A,0),1)</f>
        <v>1</v>
      </c>
      <c r="I605">
        <f>3-COUNTBLANK(D605:F605)</f>
        <v>2</v>
      </c>
      <c r="J605">
        <f>IF(I605&gt;=2,H605,0)</f>
        <v>1</v>
      </c>
    </row>
    <row r="606" spans="1:10" x14ac:dyDescent="0.3">
      <c r="A606" t="s">
        <v>1451</v>
      </c>
      <c r="B606" t="s">
        <v>361</v>
      </c>
      <c r="C606" t="s">
        <v>362</v>
      </c>
      <c r="D606" t="s">
        <v>73</v>
      </c>
      <c r="F606" t="s">
        <v>363</v>
      </c>
      <c r="G606" t="str" cm="1">
        <f t="array" ref="G606">_xlfn.IFS(
ISNUMBER(SEARCH("hold",C606)),"hold",
ISNUMBER(SEARCH("youth",C606)),"youth",
ISNUMBER(SEARCH("juve",C606)),"youth",
OR(ISNUMBER(SEARCH("health",B606)),ISNUMBER(SEARCH("care ",B606)),ISNUMBER(SEARCH("psych",B606)),ISNUMBER(SEARCH("medical",B606)),ISNUMBER(SEARCH("hospital",B606))),"medical",
ISNUMBER(SEARCH("correct",B606)),"correctional",
ISNUMBER(SEARCH("process",B606)),"processing",
ISNUMBER(SEARCH("detention center",B606)),"detention",
ISNUMBER(SEARCH("detention fac",B606)),"detention",
ISNUMBER(SEARCH("staging",B606)),"staging",
ISNUMBER(SEARCH("prison",B606)),"prison",
ISNUMBER(SEARCH("penet",B606)),"prison",
ISNUMBER(SEARCH("jail",B606)),"jail",
ISNUMBER(SEARCH("detention",B606)),"detention",
ISNUMBER(SEARCH("sheriff",B606)),"sheriff/police",
ISNUMBER(SEARCH("police",B606)),"sheriff/police",
TRUE,""
)</f>
        <v>jail</v>
      </c>
      <c r="H606">
        <f>INDEX(Sheet2!B:B,MATCH(C606,Sheet2!A:A,0),1)</f>
        <v>1</v>
      </c>
      <c r="I606">
        <f>3-COUNTBLANK(D606:F606)</f>
        <v>2</v>
      </c>
      <c r="J606">
        <f>IF(I606&gt;=2,H606,0)</f>
        <v>1</v>
      </c>
    </row>
    <row r="607" spans="1:10" x14ac:dyDescent="0.3">
      <c r="A607" t="s">
        <v>917</v>
      </c>
      <c r="B607" t="s">
        <v>1821</v>
      </c>
      <c r="C607" t="s">
        <v>1822</v>
      </c>
      <c r="D607" t="s">
        <v>31</v>
      </c>
      <c r="G607" t="str" cm="1">
        <f t="array" ref="G607">_xlfn.IFS(
ISNUMBER(SEARCH("hold",C607)),"hold",
ISNUMBER(SEARCH("youth",C607)),"youth",
ISNUMBER(SEARCH("juve",C607)),"youth",
OR(ISNUMBER(SEARCH("health",B607)),ISNUMBER(SEARCH("care ",B607)),ISNUMBER(SEARCH("psych",B607)),ISNUMBER(SEARCH("medical",B607)),ISNUMBER(SEARCH("hospital",B607))),"medical",
ISNUMBER(SEARCH("correct",B607)),"correctional",
ISNUMBER(SEARCH("process",B607)),"processing",
ISNUMBER(SEARCH("detention center",B607)),"detention",
ISNUMBER(SEARCH("detention fac",B607)),"detention",
ISNUMBER(SEARCH("staging",B607)),"staging",
ISNUMBER(SEARCH("prison",B607)),"prison",
ISNUMBER(SEARCH("penet",B607)),"prison",
ISNUMBER(SEARCH("jail",B607)),"jail",
ISNUMBER(SEARCH("detention",B607)),"detention",
ISNUMBER(SEARCH("sheriff",B607)),"sheriff/police",
ISNUMBER(SEARCH("police",B607)),"sheriff/police",
TRUE,""
)</f>
        <v/>
      </c>
      <c r="H607">
        <f>INDEX(Sheet2!B:B,MATCH(C607,Sheet2!A:A,0),1)</f>
        <v>67</v>
      </c>
      <c r="I607">
        <f>3-COUNTBLANK(D607:F607)</f>
        <v>1</v>
      </c>
      <c r="J607">
        <f>IF(I607&gt;=2,H607,0)</f>
        <v>0</v>
      </c>
    </row>
    <row r="608" spans="1:10" x14ac:dyDescent="0.3">
      <c r="A608" t="s">
        <v>1457</v>
      </c>
      <c r="B608" t="s">
        <v>412</v>
      </c>
      <c r="C608" t="s">
        <v>413</v>
      </c>
      <c r="D608" t="s">
        <v>204</v>
      </c>
      <c r="F608" t="s">
        <v>2266</v>
      </c>
      <c r="G608" t="str" cm="1">
        <f t="array" ref="G608">_xlfn.IFS(
ISNUMBER(SEARCH("hold",C608)),"hold",
ISNUMBER(SEARCH("youth",C608)),"youth",
ISNUMBER(SEARCH("juve",C608)),"youth",
OR(ISNUMBER(SEARCH("health",B608)),ISNUMBER(SEARCH("care ",B608)),ISNUMBER(SEARCH("psych",B608)),ISNUMBER(SEARCH("medical",B608)),ISNUMBER(SEARCH("hospital",B608))),"medical",
ISNUMBER(SEARCH("correct",B608)),"correctional",
ISNUMBER(SEARCH("process",B608)),"processing",
ISNUMBER(SEARCH("detention center",B608)),"detention",
ISNUMBER(SEARCH("detention fac",B608)),"detention",
ISNUMBER(SEARCH("staging",B608)),"staging",
ISNUMBER(SEARCH("prison",B608)),"prison",
ISNUMBER(SEARCH("penet",B608)),"prison",
ISNUMBER(SEARCH("jail",B608)),"jail",
ISNUMBER(SEARCH("detention",B608)),"detention",
ISNUMBER(SEARCH("sheriff",B608)),"sheriff/police",
ISNUMBER(SEARCH("police",B608)),"sheriff/police",
TRUE,""
)</f>
        <v>jail</v>
      </c>
      <c r="H608">
        <f>INDEX(Sheet2!B:B,MATCH(C608,Sheet2!A:A,0),1)</f>
        <v>1</v>
      </c>
      <c r="I608">
        <f>3-COUNTBLANK(D608:F608)</f>
        <v>2</v>
      </c>
      <c r="J608">
        <f>IF(I608&gt;=2,H608,0)</f>
        <v>1</v>
      </c>
    </row>
    <row r="609" spans="1:10" x14ac:dyDescent="0.3">
      <c r="A609" t="s">
        <v>1460</v>
      </c>
      <c r="B609" t="s">
        <v>469</v>
      </c>
      <c r="C609" t="s">
        <v>470</v>
      </c>
      <c r="D609" t="s">
        <v>121</v>
      </c>
      <c r="F609" t="s">
        <v>2294</v>
      </c>
      <c r="G609" t="str" cm="1">
        <f t="array" ref="G609">_xlfn.IFS(
ISNUMBER(SEARCH("hold",C609)),"hold",
ISNUMBER(SEARCH("youth",C609)),"youth",
ISNUMBER(SEARCH("juve",C609)),"youth",
OR(ISNUMBER(SEARCH("health",B609)),ISNUMBER(SEARCH("care ",B609)),ISNUMBER(SEARCH("psych",B609)),ISNUMBER(SEARCH("medical",B609)),ISNUMBER(SEARCH("hospital",B609))),"medical",
ISNUMBER(SEARCH("correct",B609)),"correctional",
ISNUMBER(SEARCH("process",B609)),"processing",
ISNUMBER(SEARCH("detention center",B609)),"detention",
ISNUMBER(SEARCH("detention fac",B609)),"detention",
ISNUMBER(SEARCH("staging",B609)),"staging",
ISNUMBER(SEARCH("prison",B609)),"prison",
ISNUMBER(SEARCH("penet",B609)),"prison",
ISNUMBER(SEARCH("jail",B609)),"jail",
ISNUMBER(SEARCH("detention",B609)),"detention",
ISNUMBER(SEARCH("sheriff",B609)),"sheriff/police",
ISNUMBER(SEARCH("police",B609)),"sheriff/police",
TRUE,""
)</f>
        <v>medical</v>
      </c>
      <c r="H609">
        <f>INDEX(Sheet2!B:B,MATCH(C609,Sheet2!A:A,0),1)</f>
        <v>1</v>
      </c>
      <c r="I609">
        <f>3-COUNTBLANK(D609:F609)</f>
        <v>2</v>
      </c>
      <c r="J609">
        <f>IF(I609&gt;=2,H609,0)</f>
        <v>1</v>
      </c>
    </row>
    <row r="610" spans="1:10" x14ac:dyDescent="0.3">
      <c r="A610" t="s">
        <v>1463</v>
      </c>
      <c r="B610" t="s">
        <v>1978</v>
      </c>
      <c r="C610" t="s">
        <v>478</v>
      </c>
      <c r="D610" t="s">
        <v>72</v>
      </c>
      <c r="F610" t="s">
        <v>479</v>
      </c>
      <c r="G610" t="str" cm="1">
        <f t="array" ref="G610">_xlfn.IFS(
ISNUMBER(SEARCH("hold",C610)),"hold",
ISNUMBER(SEARCH("youth",C610)),"youth",
ISNUMBER(SEARCH("juve",C610)),"youth",
OR(ISNUMBER(SEARCH("health",B610)),ISNUMBER(SEARCH("care ",B610)),ISNUMBER(SEARCH("psych",B610)),ISNUMBER(SEARCH("medical",B610)),ISNUMBER(SEARCH("hospital",B610))),"medical",
ISNUMBER(SEARCH("correct",B610)),"correctional",
ISNUMBER(SEARCH("process",B610)),"processing",
ISNUMBER(SEARCH("detention center",B610)),"detention",
ISNUMBER(SEARCH("detention fac",B610)),"detention",
ISNUMBER(SEARCH("staging",B610)),"staging",
ISNUMBER(SEARCH("prison",B610)),"prison",
ISNUMBER(SEARCH("penet",B610)),"prison",
ISNUMBER(SEARCH("jail",B610)),"jail",
ISNUMBER(SEARCH("detention",B610)),"detention",
ISNUMBER(SEARCH("sheriff",B610)),"sheriff/police",
ISNUMBER(SEARCH("police",B610)),"sheriff/police",
TRUE,""
)</f>
        <v>jail</v>
      </c>
      <c r="H610">
        <f>INDEX(Sheet2!B:B,MATCH(C610,Sheet2!A:A,0),1)</f>
        <v>1</v>
      </c>
      <c r="I610">
        <f>3-COUNTBLANK(D610:F610)</f>
        <v>2</v>
      </c>
      <c r="J610">
        <f>IF(I610&gt;=2,H610,0)</f>
        <v>1</v>
      </c>
    </row>
    <row r="611" spans="1:10" x14ac:dyDescent="0.3">
      <c r="A611" t="s">
        <v>1421</v>
      </c>
      <c r="B611" t="s">
        <v>193</v>
      </c>
      <c r="C611" t="s">
        <v>1450</v>
      </c>
      <c r="D611" t="s">
        <v>99</v>
      </c>
      <c r="G611" t="str" cm="1">
        <f t="array" ref="G611">_xlfn.IFS(
ISNUMBER(SEARCH("hold",C611)),"hold",
ISNUMBER(SEARCH("youth",C611)),"youth",
ISNUMBER(SEARCH("juve",C611)),"youth",
OR(ISNUMBER(SEARCH("health",B611)),ISNUMBER(SEARCH("care ",B611)),ISNUMBER(SEARCH("psych",B611)),ISNUMBER(SEARCH("medical",B611)),ISNUMBER(SEARCH("hospital",B611))),"medical",
ISNUMBER(SEARCH("correct",B611)),"correctional",
ISNUMBER(SEARCH("process",B611)),"processing",
ISNUMBER(SEARCH("detention center",B611)),"detention",
ISNUMBER(SEARCH("detention fac",B611)),"detention",
ISNUMBER(SEARCH("staging",B611)),"staging",
ISNUMBER(SEARCH("prison",B611)),"prison",
ISNUMBER(SEARCH("penet",B611)),"prison",
ISNUMBER(SEARCH("jail",B611)),"jail",
ISNUMBER(SEARCH("detention",B611)),"detention",
ISNUMBER(SEARCH("sheriff",B611)),"sheriff/police",
ISNUMBER(SEARCH("police",B611)),"sheriff/police",
TRUE,""
)</f>
        <v/>
      </c>
      <c r="H611">
        <f>INDEX(Sheet2!B:B,MATCH(C611,Sheet2!A:A,0),1)</f>
        <v>2</v>
      </c>
      <c r="I611">
        <f>3-COUNTBLANK(D611:F611)</f>
        <v>1</v>
      </c>
      <c r="J611">
        <f>IF(I611&gt;=2,H611,0)</f>
        <v>0</v>
      </c>
    </row>
    <row r="612" spans="1:10" x14ac:dyDescent="0.3">
      <c r="A612" t="s">
        <v>1470</v>
      </c>
      <c r="B612" t="s">
        <v>1981</v>
      </c>
      <c r="C612" t="s">
        <v>1969</v>
      </c>
      <c r="D612" t="s">
        <v>59</v>
      </c>
      <c r="F612" t="s">
        <v>1970</v>
      </c>
      <c r="G612" t="str" cm="1">
        <f t="array" ref="G612">_xlfn.IFS(
ISNUMBER(SEARCH("hold",C612)),"hold",
ISNUMBER(SEARCH("youth",C612)),"youth",
ISNUMBER(SEARCH("juve",C612)),"youth",
OR(ISNUMBER(SEARCH("health",B612)),ISNUMBER(SEARCH("care ",B612)),ISNUMBER(SEARCH("psych",B612)),ISNUMBER(SEARCH("medical",B612)),ISNUMBER(SEARCH("hospital",B612))),"medical",
ISNUMBER(SEARCH("correct",B612)),"correctional",
ISNUMBER(SEARCH("process",B612)),"processing",
ISNUMBER(SEARCH("detention center",B612)),"detention",
ISNUMBER(SEARCH("detention fac",B612)),"detention",
ISNUMBER(SEARCH("staging",B612)),"staging",
ISNUMBER(SEARCH("prison",B612)),"prison",
ISNUMBER(SEARCH("penet",B612)),"prison",
ISNUMBER(SEARCH("jail",B612)),"jail",
ISNUMBER(SEARCH("detention",B612)),"detention",
ISNUMBER(SEARCH("sheriff",B612)),"sheriff/police",
ISNUMBER(SEARCH("police",B612)),"sheriff/police",
TRUE,""
)</f>
        <v>jail</v>
      </c>
      <c r="H612">
        <f>INDEX(Sheet2!B:B,MATCH(C612,Sheet2!A:A,0),1)</f>
        <v>1</v>
      </c>
      <c r="I612">
        <f>3-COUNTBLANK(D612:F612)</f>
        <v>2</v>
      </c>
      <c r="J612">
        <f>IF(I612&gt;=2,H612,0)</f>
        <v>1</v>
      </c>
    </row>
    <row r="613" spans="1:10" x14ac:dyDescent="0.3">
      <c r="A613" t="s">
        <v>1473</v>
      </c>
      <c r="B613" t="s">
        <v>860</v>
      </c>
      <c r="C613" t="s">
        <v>861</v>
      </c>
      <c r="G613" t="str" cm="1">
        <f t="array" ref="G613">_xlfn.IFS(
ISNUMBER(SEARCH("hold",C613)),"hold",
ISNUMBER(SEARCH("youth",C613)),"youth",
ISNUMBER(SEARCH("juve",C613)),"youth",
OR(ISNUMBER(SEARCH("health",B613)),ISNUMBER(SEARCH("care ",B613)),ISNUMBER(SEARCH("psych",B613)),ISNUMBER(SEARCH("medical",B613)),ISNUMBER(SEARCH("hospital",B613))),"medical",
ISNUMBER(SEARCH("correct",B613)),"correctional",
ISNUMBER(SEARCH("process",B613)),"processing",
ISNUMBER(SEARCH("detention center",B613)),"detention",
ISNUMBER(SEARCH("detention fac",B613)),"detention",
ISNUMBER(SEARCH("staging",B613)),"staging",
ISNUMBER(SEARCH("prison",B613)),"prison",
ISNUMBER(SEARCH("penet",B613)),"prison",
ISNUMBER(SEARCH("jail",B613)),"jail",
ISNUMBER(SEARCH("detention",B613)),"detention",
ISNUMBER(SEARCH("sheriff",B613)),"sheriff/police",
ISNUMBER(SEARCH("police",B613)),"sheriff/police",
TRUE,""
)</f>
        <v>correctional</v>
      </c>
      <c r="H613">
        <f>INDEX(Sheet2!B:B,MATCH(C613,Sheet2!A:A,0),1)</f>
        <v>1</v>
      </c>
      <c r="I613">
        <f>3-COUNTBLANK(D613:F613)</f>
        <v>0</v>
      </c>
      <c r="J613">
        <f>IF(I613&gt;=2,H613,0)</f>
        <v>0</v>
      </c>
    </row>
    <row r="614" spans="1:10" x14ac:dyDescent="0.3">
      <c r="A614" t="s">
        <v>1476</v>
      </c>
      <c r="B614" t="s">
        <v>1017</v>
      </c>
      <c r="C614" t="s">
        <v>1018</v>
      </c>
      <c r="G614" t="str" cm="1">
        <f t="array" ref="G614">_xlfn.IFS(
ISNUMBER(SEARCH("hold",C614)),"hold",
ISNUMBER(SEARCH("youth",C614)),"youth",
ISNUMBER(SEARCH("juve",C614)),"youth",
OR(ISNUMBER(SEARCH("health",B614)),ISNUMBER(SEARCH("care ",B614)),ISNUMBER(SEARCH("psych",B614)),ISNUMBER(SEARCH("medical",B614)),ISNUMBER(SEARCH("hospital",B614))),"medical",
ISNUMBER(SEARCH("correct",B614)),"correctional",
ISNUMBER(SEARCH("process",B614)),"processing",
ISNUMBER(SEARCH("detention center",B614)),"detention",
ISNUMBER(SEARCH("detention fac",B614)),"detention",
ISNUMBER(SEARCH("staging",B614)),"staging",
ISNUMBER(SEARCH("prison",B614)),"prison",
ISNUMBER(SEARCH("penet",B614)),"prison",
ISNUMBER(SEARCH("jail",B614)),"jail",
ISNUMBER(SEARCH("detention",B614)),"detention",
ISNUMBER(SEARCH("sheriff",B614)),"sheriff/police",
ISNUMBER(SEARCH("police",B614)),"sheriff/police",
TRUE,""
)</f>
        <v>correctional</v>
      </c>
      <c r="H614">
        <f>INDEX(Sheet2!B:B,MATCH(C614,Sheet2!A:A,0),1)</f>
        <v>1</v>
      </c>
      <c r="I614">
        <f>3-COUNTBLANK(D614:F614)</f>
        <v>0</v>
      </c>
      <c r="J614">
        <f>IF(I614&gt;=2,H614,0)</f>
        <v>0</v>
      </c>
    </row>
    <row r="615" spans="1:10" x14ac:dyDescent="0.3">
      <c r="A615" t="s">
        <v>1114</v>
      </c>
      <c r="B615" t="s">
        <v>1481</v>
      </c>
      <c r="C615" t="s">
        <v>1482</v>
      </c>
      <c r="D615" t="s">
        <v>50</v>
      </c>
      <c r="G615" t="str" cm="1">
        <f t="array" ref="G615">_xlfn.IFS(
ISNUMBER(SEARCH("hold",C615)),"hold",
ISNUMBER(SEARCH("youth",C615)),"youth",
ISNUMBER(SEARCH("juve",C615)),"youth",
OR(ISNUMBER(SEARCH("health",B615)),ISNUMBER(SEARCH("care ",B615)),ISNUMBER(SEARCH("psych",B615)),ISNUMBER(SEARCH("medical",B615)),ISNUMBER(SEARCH("hospital",B615))),"medical",
ISNUMBER(SEARCH("correct",B615)),"correctional",
ISNUMBER(SEARCH("process",B615)),"processing",
ISNUMBER(SEARCH("detention center",B615)),"detention",
ISNUMBER(SEARCH("detention fac",B615)),"detention",
ISNUMBER(SEARCH("staging",B615)),"staging",
ISNUMBER(SEARCH("prison",B615)),"prison",
ISNUMBER(SEARCH("penet",B615)),"prison",
ISNUMBER(SEARCH("jail",B615)),"jail",
ISNUMBER(SEARCH("detention",B615)),"detention",
ISNUMBER(SEARCH("sheriff",B615)),"sheriff/police",
ISNUMBER(SEARCH("police",B615)),"sheriff/police",
TRUE,""
)</f>
        <v/>
      </c>
      <c r="H615">
        <f>INDEX(Sheet2!B:B,MATCH(C615,Sheet2!A:A,0),1)</f>
        <v>14</v>
      </c>
      <c r="I615">
        <f>3-COUNTBLANK(D615:F615)</f>
        <v>1</v>
      </c>
      <c r="J615">
        <f>IF(I615&gt;=2,H615,0)</f>
        <v>0</v>
      </c>
    </row>
    <row r="616" spans="1:10" x14ac:dyDescent="0.3">
      <c r="A616" t="s">
        <v>893</v>
      </c>
      <c r="B616" t="s">
        <v>1487</v>
      </c>
      <c r="C616" t="s">
        <v>1488</v>
      </c>
      <c r="G616" t="str" cm="1">
        <f t="array" ref="G616">_xlfn.IFS(
ISNUMBER(SEARCH("hold",C616)),"hold",
ISNUMBER(SEARCH("youth",C616)),"youth",
ISNUMBER(SEARCH("juve",C616)),"youth",
OR(ISNUMBER(SEARCH("health",B616)),ISNUMBER(SEARCH("care ",B616)),ISNUMBER(SEARCH("psych",B616)),ISNUMBER(SEARCH("medical",B616)),ISNUMBER(SEARCH("hospital",B616))),"medical",
ISNUMBER(SEARCH("correct",B616)),"correctional",
ISNUMBER(SEARCH("process",B616)),"processing",
ISNUMBER(SEARCH("detention center",B616)),"detention",
ISNUMBER(SEARCH("detention fac",B616)),"detention",
ISNUMBER(SEARCH("staging",B616)),"staging",
ISNUMBER(SEARCH("prison",B616)),"prison",
ISNUMBER(SEARCH("penet",B616)),"prison",
ISNUMBER(SEARCH("jail",B616)),"jail",
ISNUMBER(SEARCH("detention",B616)),"detention",
ISNUMBER(SEARCH("sheriff",B616)),"sheriff/police",
ISNUMBER(SEARCH("police",B616)),"sheriff/police",
TRUE,""
)</f>
        <v/>
      </c>
      <c r="H616">
        <f>INDEX(Sheet2!B:B,MATCH(C616,Sheet2!A:A,0),1)</f>
        <v>76</v>
      </c>
      <c r="I616">
        <f>3-COUNTBLANK(D616:F616)</f>
        <v>0</v>
      </c>
      <c r="J616">
        <f>IF(I616&gt;=2,H616,0)</f>
        <v>0</v>
      </c>
    </row>
    <row r="617" spans="1:10" x14ac:dyDescent="0.3">
      <c r="A617" t="s">
        <v>1486</v>
      </c>
      <c r="B617" t="s">
        <v>766</v>
      </c>
      <c r="C617" t="s">
        <v>767</v>
      </c>
      <c r="D617" t="s">
        <v>768</v>
      </c>
      <c r="G617" t="str" cm="1">
        <f t="array" ref="G617">_xlfn.IFS(
ISNUMBER(SEARCH("hold",C617)),"hold",
ISNUMBER(SEARCH("youth",C617)),"youth",
ISNUMBER(SEARCH("juve",C617)),"youth",
OR(ISNUMBER(SEARCH("health",B617)),ISNUMBER(SEARCH("care ",B617)),ISNUMBER(SEARCH("psych",B617)),ISNUMBER(SEARCH("medical",B617)),ISNUMBER(SEARCH("hospital",B617))),"medical",
ISNUMBER(SEARCH("correct",B617)),"correctional",
ISNUMBER(SEARCH("process",B617)),"processing",
ISNUMBER(SEARCH("detention center",B617)),"detention",
ISNUMBER(SEARCH("detention fac",B617)),"detention",
ISNUMBER(SEARCH("staging",B617)),"staging",
ISNUMBER(SEARCH("prison",B617)),"prison",
ISNUMBER(SEARCH("penet",B617)),"prison",
ISNUMBER(SEARCH("jail",B617)),"jail",
ISNUMBER(SEARCH("detention",B617)),"detention",
ISNUMBER(SEARCH("sheriff",B617)),"sheriff/police",
ISNUMBER(SEARCH("police",B617)),"sheriff/police",
TRUE,""
)</f>
        <v>correctional</v>
      </c>
      <c r="H617">
        <f>INDEX(Sheet2!B:B,MATCH(C617,Sheet2!A:A,0),1)</f>
        <v>1</v>
      </c>
      <c r="I617">
        <f>3-COUNTBLANK(D617:F617)</f>
        <v>1</v>
      </c>
      <c r="J617">
        <f>IF(I617&gt;=2,H617,0)</f>
        <v>0</v>
      </c>
    </row>
    <row r="618" spans="1:10" x14ac:dyDescent="0.3">
      <c r="A618" t="s">
        <v>2007</v>
      </c>
      <c r="B618" t="s">
        <v>814</v>
      </c>
      <c r="C618" t="s">
        <v>815</v>
      </c>
      <c r="D618" t="s">
        <v>72</v>
      </c>
      <c r="F618" t="s">
        <v>816</v>
      </c>
      <c r="G618" t="str" cm="1">
        <f t="array" ref="G618">_xlfn.IFS(
ISNUMBER(SEARCH("hold",C618)),"hold",
ISNUMBER(SEARCH("youth",C618)),"youth",
ISNUMBER(SEARCH("juve",C618)),"youth",
OR(ISNUMBER(SEARCH("health",B618)),ISNUMBER(SEARCH("care ",B618)),ISNUMBER(SEARCH("psych",B618)),ISNUMBER(SEARCH("medical",B618)),ISNUMBER(SEARCH("hospital",B618))),"medical",
ISNUMBER(SEARCH("correct",B618)),"correctional",
ISNUMBER(SEARCH("process",B618)),"processing",
ISNUMBER(SEARCH("detention center",B618)),"detention",
ISNUMBER(SEARCH("detention fac",B618)),"detention",
ISNUMBER(SEARCH("staging",B618)),"staging",
ISNUMBER(SEARCH("prison",B618)),"prison",
ISNUMBER(SEARCH("penet",B618)),"prison",
ISNUMBER(SEARCH("jail",B618)),"jail",
ISNUMBER(SEARCH("detention",B618)),"detention",
ISNUMBER(SEARCH("sheriff",B618)),"sheriff/police",
ISNUMBER(SEARCH("police",B618)),"sheriff/police",
TRUE,""
)</f>
        <v>medical</v>
      </c>
      <c r="H618">
        <f>INDEX(Sheet2!B:B,MATCH(C618,Sheet2!A:A,0),1)</f>
        <v>1</v>
      </c>
      <c r="I618">
        <f>3-COUNTBLANK(D618:F618)</f>
        <v>2</v>
      </c>
      <c r="J618">
        <f>IF(I618&gt;=2,H618,0)</f>
        <v>1</v>
      </c>
    </row>
    <row r="619" spans="1:10" x14ac:dyDescent="0.3">
      <c r="A619" t="s">
        <v>1490</v>
      </c>
      <c r="B619" t="s">
        <v>849</v>
      </c>
      <c r="C619" t="s">
        <v>852</v>
      </c>
      <c r="D619" t="s">
        <v>72</v>
      </c>
      <c r="E619" t="s">
        <v>2221</v>
      </c>
      <c r="F619" t="s">
        <v>851</v>
      </c>
      <c r="G619" t="str" cm="1">
        <f t="array" ref="G619">_xlfn.IFS(
ISNUMBER(SEARCH("hold",C619)),"hold",
ISNUMBER(SEARCH("youth",C619)),"youth",
ISNUMBER(SEARCH("juve",C619)),"youth",
OR(ISNUMBER(SEARCH("health",B619)),ISNUMBER(SEARCH("care ",B619)),ISNUMBER(SEARCH("psych",B619)),ISNUMBER(SEARCH("medical",B619)),ISNUMBER(SEARCH("hospital",B619))),"medical",
ISNUMBER(SEARCH("correct",B619)),"correctional",
ISNUMBER(SEARCH("process",B619)),"processing",
ISNUMBER(SEARCH("detention center",B619)),"detention",
ISNUMBER(SEARCH("detention fac",B619)),"detention",
ISNUMBER(SEARCH("staging",B619)),"staging",
ISNUMBER(SEARCH("prison",B619)),"prison",
ISNUMBER(SEARCH("penet",B619)),"prison",
ISNUMBER(SEARCH("jail",B619)),"jail",
ISNUMBER(SEARCH("detention",B619)),"detention",
ISNUMBER(SEARCH("sheriff",B619)),"sheriff/police",
ISNUMBER(SEARCH("police",B619)),"sheriff/police",
TRUE,""
)</f>
        <v>jail</v>
      </c>
      <c r="H619">
        <f>INDEX(Sheet2!B:B,MATCH(C619,Sheet2!A:A,0),1)</f>
        <v>1</v>
      </c>
      <c r="I619">
        <f>3-COUNTBLANK(D619:F619)</f>
        <v>3</v>
      </c>
      <c r="J619">
        <f>IF(I619&gt;=2,H619,0)</f>
        <v>1</v>
      </c>
    </row>
    <row r="620" spans="1:10" x14ac:dyDescent="0.3">
      <c r="A620" t="s">
        <v>1493</v>
      </c>
      <c r="B620" t="s">
        <v>1400</v>
      </c>
      <c r="C620" t="s">
        <v>1401</v>
      </c>
      <c r="G620" t="str" cm="1">
        <f t="array" ref="G620">_xlfn.IFS(
ISNUMBER(SEARCH("hold",C620)),"hold",
ISNUMBER(SEARCH("youth",C620)),"youth",
ISNUMBER(SEARCH("juve",C620)),"youth",
OR(ISNUMBER(SEARCH("health",B620)),ISNUMBER(SEARCH("care ",B620)),ISNUMBER(SEARCH("psych",B620)),ISNUMBER(SEARCH("medical",B620)),ISNUMBER(SEARCH("hospital",B620))),"medical",
ISNUMBER(SEARCH("correct",B620)),"correctional",
ISNUMBER(SEARCH("process",B620)),"processing",
ISNUMBER(SEARCH("detention center",B620)),"detention",
ISNUMBER(SEARCH("detention fac",B620)),"detention",
ISNUMBER(SEARCH("staging",B620)),"staging",
ISNUMBER(SEARCH("prison",B620)),"prison",
ISNUMBER(SEARCH("penet",B620)),"prison",
ISNUMBER(SEARCH("jail",B620)),"jail",
ISNUMBER(SEARCH("detention",B620)),"detention",
ISNUMBER(SEARCH("sheriff",B620)),"sheriff/police",
ISNUMBER(SEARCH("police",B620)),"sheriff/police",
TRUE,""
)</f>
        <v>correctional</v>
      </c>
      <c r="H620">
        <f>INDEX(Sheet2!B:B,MATCH(C620,Sheet2!A:A,0),1)</f>
        <v>1</v>
      </c>
      <c r="I620">
        <f>3-COUNTBLANK(D620:F620)</f>
        <v>0</v>
      </c>
      <c r="J620">
        <f>IF(I620&gt;=2,H620,0)</f>
        <v>0</v>
      </c>
    </row>
    <row r="621" spans="1:10" x14ac:dyDescent="0.3">
      <c r="A621" t="s">
        <v>1393</v>
      </c>
      <c r="B621" t="s">
        <v>1494</v>
      </c>
      <c r="C621" t="s">
        <v>1495</v>
      </c>
      <c r="D621" t="s">
        <v>6</v>
      </c>
      <c r="F621" t="s">
        <v>2383</v>
      </c>
      <c r="G621" t="str" cm="1">
        <f t="array" ref="G621">_xlfn.IFS(
ISNUMBER(SEARCH("hold",C621)),"hold",
ISNUMBER(SEARCH("youth",C621)),"youth",
ISNUMBER(SEARCH("juve",C621)),"youth",
OR(ISNUMBER(SEARCH("health",B621)),ISNUMBER(SEARCH("care ",B621)),ISNUMBER(SEARCH("psych",B621)),ISNUMBER(SEARCH("medical",B621)),ISNUMBER(SEARCH("hospital",B621))),"medical",
ISNUMBER(SEARCH("correct",B621)),"correctional",
ISNUMBER(SEARCH("process",B621)),"processing",
ISNUMBER(SEARCH("detention center",B621)),"detention",
ISNUMBER(SEARCH("detention fac",B621)),"detention",
ISNUMBER(SEARCH("staging",B621)),"staging",
ISNUMBER(SEARCH("prison",B621)),"prison",
ISNUMBER(SEARCH("penet",B621)),"prison",
ISNUMBER(SEARCH("jail",B621)),"jail",
ISNUMBER(SEARCH("detention",B621)),"detention",
ISNUMBER(SEARCH("sheriff",B621)),"sheriff/police",
ISNUMBER(SEARCH("police",B621)),"sheriff/police",
TRUE,""
)</f>
        <v/>
      </c>
      <c r="H621">
        <f>INDEX(Sheet2!B:B,MATCH(C621,Sheet2!A:A,0),1)</f>
        <v>2</v>
      </c>
      <c r="I621">
        <f>3-COUNTBLANK(D621:F621)</f>
        <v>2</v>
      </c>
      <c r="J621">
        <f>IF(I621&gt;=2,H621,0)</f>
        <v>2</v>
      </c>
    </row>
    <row r="622" spans="1:10" x14ac:dyDescent="0.3">
      <c r="A622" t="s">
        <v>1499</v>
      </c>
      <c r="B622" t="s">
        <v>1167</v>
      </c>
      <c r="C622" t="s">
        <v>1168</v>
      </c>
      <c r="D622" t="s">
        <v>78</v>
      </c>
      <c r="F622" t="s">
        <v>1169</v>
      </c>
      <c r="G622" t="str" cm="1">
        <f t="array" ref="G622">_xlfn.IFS(
ISNUMBER(SEARCH("hold",C622)),"hold",
ISNUMBER(SEARCH("youth",C622)),"youth",
ISNUMBER(SEARCH("juve",C622)),"youth",
OR(ISNUMBER(SEARCH("health",B622)),ISNUMBER(SEARCH("care ",B622)),ISNUMBER(SEARCH("psych",B622)),ISNUMBER(SEARCH("medical",B622)),ISNUMBER(SEARCH("hospital",B622))),"medical",
ISNUMBER(SEARCH("correct",B622)),"correctional",
ISNUMBER(SEARCH("process",B622)),"processing",
ISNUMBER(SEARCH("detention center",B622)),"detention",
ISNUMBER(SEARCH("detention fac",B622)),"detention",
ISNUMBER(SEARCH("staging",B622)),"staging",
ISNUMBER(SEARCH("prison",B622)),"prison",
ISNUMBER(SEARCH("penet",B622)),"prison",
ISNUMBER(SEARCH("jail",B622)),"jail",
ISNUMBER(SEARCH("detention",B622)),"detention",
ISNUMBER(SEARCH("sheriff",B622)),"sheriff/police",
ISNUMBER(SEARCH("police",B622)),"sheriff/police",
TRUE,""
)</f>
        <v>jail</v>
      </c>
      <c r="H622">
        <f>INDEX(Sheet2!B:B,MATCH(C622,Sheet2!A:A,0),1)</f>
        <v>1</v>
      </c>
      <c r="I622">
        <f>3-COUNTBLANK(D622:F622)</f>
        <v>2</v>
      </c>
      <c r="J622">
        <f>IF(I622&gt;=2,H622,0)</f>
        <v>1</v>
      </c>
    </row>
    <row r="623" spans="1:10" x14ac:dyDescent="0.3">
      <c r="A623" t="s">
        <v>1502</v>
      </c>
      <c r="B623" t="s">
        <v>1195</v>
      </c>
      <c r="C623" t="s">
        <v>1196</v>
      </c>
      <c r="D623" t="s">
        <v>95</v>
      </c>
      <c r="F623" t="s">
        <v>1197</v>
      </c>
      <c r="G623" t="str" cm="1">
        <f t="array" ref="G623">_xlfn.IFS(
ISNUMBER(SEARCH("hold",C623)),"hold",
ISNUMBER(SEARCH("youth",C623)),"youth",
ISNUMBER(SEARCH("juve",C623)),"youth",
OR(ISNUMBER(SEARCH("health",B623)),ISNUMBER(SEARCH("care ",B623)),ISNUMBER(SEARCH("psych",B623)),ISNUMBER(SEARCH("medical",B623)),ISNUMBER(SEARCH("hospital",B623))),"medical",
ISNUMBER(SEARCH("correct",B623)),"correctional",
ISNUMBER(SEARCH("process",B623)),"processing",
ISNUMBER(SEARCH("detention center",B623)),"detention",
ISNUMBER(SEARCH("detention fac",B623)),"detention",
ISNUMBER(SEARCH("staging",B623)),"staging",
ISNUMBER(SEARCH("prison",B623)),"prison",
ISNUMBER(SEARCH("penet",B623)),"prison",
ISNUMBER(SEARCH("jail",B623)),"jail",
ISNUMBER(SEARCH("detention",B623)),"detention",
ISNUMBER(SEARCH("sheriff",B623)),"sheriff/police",
ISNUMBER(SEARCH("police",B623)),"sheriff/police",
TRUE,""
)</f>
        <v>correctional</v>
      </c>
      <c r="H623">
        <f>INDEX(Sheet2!B:B,MATCH(C623,Sheet2!A:A,0),1)</f>
        <v>1</v>
      </c>
      <c r="I623">
        <f>3-COUNTBLANK(D623:F623)</f>
        <v>2</v>
      </c>
      <c r="J623">
        <f>IF(I623&gt;=2,H623,0)</f>
        <v>1</v>
      </c>
    </row>
    <row r="624" spans="1:10" x14ac:dyDescent="0.3">
      <c r="A624" t="s">
        <v>1505</v>
      </c>
      <c r="B624" t="s">
        <v>1239</v>
      </c>
      <c r="C624" t="s">
        <v>1240</v>
      </c>
      <c r="D624" t="s">
        <v>6</v>
      </c>
      <c r="F624" t="s">
        <v>2361</v>
      </c>
      <c r="G624" t="str" cm="1">
        <f t="array" ref="G624">_xlfn.IFS(
ISNUMBER(SEARCH("hold",C624)),"hold",
ISNUMBER(SEARCH("youth",C624)),"youth",
ISNUMBER(SEARCH("juve",C624)),"youth",
OR(ISNUMBER(SEARCH("health",B624)),ISNUMBER(SEARCH("care ",B624)),ISNUMBER(SEARCH("psych",B624)),ISNUMBER(SEARCH("medical",B624)),ISNUMBER(SEARCH("hospital",B624))),"medical",
ISNUMBER(SEARCH("correct",B624)),"correctional",
ISNUMBER(SEARCH("process",B624)),"processing",
ISNUMBER(SEARCH("detention center",B624)),"detention",
ISNUMBER(SEARCH("detention fac",B624)),"detention",
ISNUMBER(SEARCH("staging",B624)),"staging",
ISNUMBER(SEARCH("prison",B624)),"prison",
ISNUMBER(SEARCH("penet",B624)),"prison",
ISNUMBER(SEARCH("jail",B624)),"jail",
ISNUMBER(SEARCH("detention",B624)),"detention",
ISNUMBER(SEARCH("sheriff",B624)),"sheriff/police",
ISNUMBER(SEARCH("police",B624)),"sheriff/police",
TRUE,""
)</f>
        <v>jail</v>
      </c>
      <c r="H624">
        <f>INDEX(Sheet2!B:B,MATCH(C624,Sheet2!A:A,0),1)</f>
        <v>1</v>
      </c>
      <c r="I624">
        <f>3-COUNTBLANK(D624:F624)</f>
        <v>2</v>
      </c>
      <c r="J624">
        <f>IF(I624&gt;=2,H624,0)</f>
        <v>1</v>
      </c>
    </row>
    <row r="625" spans="1:10" x14ac:dyDescent="0.3">
      <c r="A625" t="s">
        <v>1505</v>
      </c>
      <c r="B625" t="s">
        <v>1467</v>
      </c>
      <c r="C625" t="s">
        <v>1468</v>
      </c>
      <c r="D625" t="s">
        <v>31</v>
      </c>
      <c r="F625" t="s">
        <v>1469</v>
      </c>
      <c r="G625" t="str" cm="1">
        <f t="array" ref="G625">_xlfn.IFS(
ISNUMBER(SEARCH("hold",C625)),"hold",
ISNUMBER(SEARCH("youth",C625)),"youth",
ISNUMBER(SEARCH("juve",C625)),"youth",
OR(ISNUMBER(SEARCH("health",B625)),ISNUMBER(SEARCH("care ",B625)),ISNUMBER(SEARCH("psych",B625)),ISNUMBER(SEARCH("medical",B625)),ISNUMBER(SEARCH("hospital",B625))),"medical",
ISNUMBER(SEARCH("correct",B625)),"correctional",
ISNUMBER(SEARCH("process",B625)),"processing",
ISNUMBER(SEARCH("detention center",B625)),"detention",
ISNUMBER(SEARCH("detention fac",B625)),"detention",
ISNUMBER(SEARCH("staging",B625)),"staging",
ISNUMBER(SEARCH("prison",B625)),"prison",
ISNUMBER(SEARCH("penet",B625)),"prison",
ISNUMBER(SEARCH("jail",B625)),"jail",
ISNUMBER(SEARCH("detention",B625)),"detention",
ISNUMBER(SEARCH("sheriff",B625)),"sheriff/police",
ISNUMBER(SEARCH("police",B625)),"sheriff/police",
TRUE,""
)</f>
        <v>jail</v>
      </c>
      <c r="H625">
        <f>INDEX(Sheet2!B:B,MATCH(C625,Sheet2!A:A,0),1)</f>
        <v>1</v>
      </c>
      <c r="I625">
        <f>3-COUNTBLANK(D625:F625)</f>
        <v>2</v>
      </c>
      <c r="J625">
        <f>IF(I625&gt;=2,H625,0)</f>
        <v>1</v>
      </c>
    </row>
    <row r="626" spans="1:10" x14ac:dyDescent="0.3">
      <c r="A626" t="s">
        <v>1505</v>
      </c>
      <c r="B626" t="s">
        <v>1575</v>
      </c>
      <c r="C626" t="s">
        <v>1576</v>
      </c>
      <c r="D626" t="s">
        <v>185</v>
      </c>
      <c r="F626" t="s">
        <v>1573</v>
      </c>
      <c r="G626" t="str" cm="1">
        <f t="array" ref="G626">_xlfn.IFS(
ISNUMBER(SEARCH("hold",C626)),"hold",
ISNUMBER(SEARCH("youth",C626)),"youth",
ISNUMBER(SEARCH("juve",C626)),"youth",
OR(ISNUMBER(SEARCH("health",B626)),ISNUMBER(SEARCH("care ",B626)),ISNUMBER(SEARCH("psych",B626)),ISNUMBER(SEARCH("medical",B626)),ISNUMBER(SEARCH("hospital",B626))),"medical",
ISNUMBER(SEARCH("correct",B626)),"correctional",
ISNUMBER(SEARCH("process",B626)),"processing",
ISNUMBER(SEARCH("detention center",B626)),"detention",
ISNUMBER(SEARCH("detention fac",B626)),"detention",
ISNUMBER(SEARCH("staging",B626)),"staging",
ISNUMBER(SEARCH("prison",B626)),"prison",
ISNUMBER(SEARCH("penet",B626)),"prison",
ISNUMBER(SEARCH("jail",B626)),"jail",
ISNUMBER(SEARCH("detention",B626)),"detention",
ISNUMBER(SEARCH("sheriff",B626)),"sheriff/police",
ISNUMBER(SEARCH("police",B626)),"sheriff/police",
TRUE,""
)</f>
        <v>jail</v>
      </c>
      <c r="H626">
        <f>INDEX(Sheet2!B:B,MATCH(C626,Sheet2!A:A,0),1)</f>
        <v>1</v>
      </c>
      <c r="I626">
        <f>3-COUNTBLANK(D626:F626)</f>
        <v>2</v>
      </c>
      <c r="J626">
        <f>IF(I626&gt;=2,H626,0)</f>
        <v>1</v>
      </c>
    </row>
    <row r="627" spans="1:10" x14ac:dyDescent="0.3">
      <c r="A627" t="s">
        <v>1510</v>
      </c>
      <c r="B627" t="s">
        <v>1584</v>
      </c>
      <c r="C627" t="s">
        <v>1585</v>
      </c>
      <c r="D627" t="s">
        <v>72</v>
      </c>
      <c r="F627" t="s">
        <v>2392</v>
      </c>
      <c r="G627" t="str" cm="1">
        <f t="array" ref="G627">_xlfn.IFS(
ISNUMBER(SEARCH("hold",C627)),"hold",
ISNUMBER(SEARCH("youth",C627)),"youth",
ISNUMBER(SEARCH("juve",C627)),"youth",
OR(ISNUMBER(SEARCH("health",B627)),ISNUMBER(SEARCH("care ",B627)),ISNUMBER(SEARCH("psych",B627)),ISNUMBER(SEARCH("medical",B627)),ISNUMBER(SEARCH("hospital",B627))),"medical",
ISNUMBER(SEARCH("correct",B627)),"correctional",
ISNUMBER(SEARCH("process",B627)),"processing",
ISNUMBER(SEARCH("detention center",B627)),"detention",
ISNUMBER(SEARCH("detention fac",B627)),"detention",
ISNUMBER(SEARCH("staging",B627)),"staging",
ISNUMBER(SEARCH("prison",B627)),"prison",
ISNUMBER(SEARCH("penet",B627)),"prison",
ISNUMBER(SEARCH("jail",B627)),"jail",
ISNUMBER(SEARCH("detention",B627)),"detention",
ISNUMBER(SEARCH("sheriff",B627)),"sheriff/police",
ISNUMBER(SEARCH("police",B627)),"sheriff/police",
TRUE,""
)</f>
        <v>jail</v>
      </c>
      <c r="H627">
        <f>INDEX(Sheet2!B:B,MATCH(C627,Sheet2!A:A,0),1)</f>
        <v>1</v>
      </c>
      <c r="I627">
        <f>3-COUNTBLANK(D627:F627)</f>
        <v>2</v>
      </c>
      <c r="J627">
        <f>IF(I627&gt;=2,H627,0)</f>
        <v>1</v>
      </c>
    </row>
    <row r="628" spans="1:10" x14ac:dyDescent="0.3">
      <c r="A628" t="s">
        <v>1513</v>
      </c>
      <c r="B628" t="s">
        <v>314</v>
      </c>
      <c r="C628" t="s">
        <v>315</v>
      </c>
      <c r="D628" t="s">
        <v>112</v>
      </c>
      <c r="G628" t="str" cm="1">
        <f t="array" ref="G628">_xlfn.IFS(
ISNUMBER(SEARCH("hold",C628)),"hold",
ISNUMBER(SEARCH("youth",C628)),"youth",
ISNUMBER(SEARCH("juve",C628)),"youth",
OR(ISNUMBER(SEARCH("health",B628)),ISNUMBER(SEARCH("care ",B628)),ISNUMBER(SEARCH("psych",B628)),ISNUMBER(SEARCH("medical",B628)),ISNUMBER(SEARCH("hospital",B628))),"medical",
ISNUMBER(SEARCH("correct",B628)),"correctional",
ISNUMBER(SEARCH("process",B628)),"processing",
ISNUMBER(SEARCH("detention center",B628)),"detention",
ISNUMBER(SEARCH("detention fac",B628)),"detention",
ISNUMBER(SEARCH("staging",B628)),"staging",
ISNUMBER(SEARCH("prison",B628)),"prison",
ISNUMBER(SEARCH("penet",B628)),"prison",
ISNUMBER(SEARCH("jail",B628)),"jail",
ISNUMBER(SEARCH("detention",B628)),"detention",
ISNUMBER(SEARCH("sheriff",B628)),"sheriff/police",
ISNUMBER(SEARCH("police",B628)),"sheriff/police",
TRUE,""
)</f>
        <v>correctional</v>
      </c>
      <c r="H628">
        <f>INDEX(Sheet2!B:B,MATCH(C628,Sheet2!A:A,0),1)</f>
        <v>1</v>
      </c>
      <c r="I628">
        <f>3-COUNTBLANK(D628:F628)</f>
        <v>1</v>
      </c>
      <c r="J628">
        <f>IF(I628&gt;=2,H628,0)</f>
        <v>0</v>
      </c>
    </row>
    <row r="629" spans="1:10" x14ac:dyDescent="0.3">
      <c r="A629" t="s">
        <v>1516</v>
      </c>
      <c r="B629" t="s">
        <v>475</v>
      </c>
      <c r="C629" t="s">
        <v>476</v>
      </c>
      <c r="D629" t="s">
        <v>116</v>
      </c>
      <c r="G629" t="str" cm="1">
        <f t="array" ref="G629">_xlfn.IFS(
ISNUMBER(SEARCH("hold",C629)),"hold",
ISNUMBER(SEARCH("youth",C629)),"youth",
ISNUMBER(SEARCH("juve",C629)),"youth",
OR(ISNUMBER(SEARCH("health",B629)),ISNUMBER(SEARCH("care ",B629)),ISNUMBER(SEARCH("psych",B629)),ISNUMBER(SEARCH("medical",B629)),ISNUMBER(SEARCH("hospital",B629))),"medical",
ISNUMBER(SEARCH("correct",B629)),"correctional",
ISNUMBER(SEARCH("process",B629)),"processing",
ISNUMBER(SEARCH("detention center",B629)),"detention",
ISNUMBER(SEARCH("detention fac",B629)),"detention",
ISNUMBER(SEARCH("staging",B629)),"staging",
ISNUMBER(SEARCH("prison",B629)),"prison",
ISNUMBER(SEARCH("penet",B629)),"prison",
ISNUMBER(SEARCH("jail",B629)),"jail",
ISNUMBER(SEARCH("detention",B629)),"detention",
ISNUMBER(SEARCH("sheriff",B629)),"sheriff/police",
ISNUMBER(SEARCH("police",B629)),"sheriff/police",
TRUE,""
)</f>
        <v>medical</v>
      </c>
      <c r="H629">
        <f>INDEX(Sheet2!B:B,MATCH(C629,Sheet2!A:A,0),1)</f>
        <v>1</v>
      </c>
      <c r="I629">
        <f>3-COUNTBLANK(D629:F629)</f>
        <v>1</v>
      </c>
      <c r="J629">
        <f>IF(I629&gt;=2,H629,0)</f>
        <v>0</v>
      </c>
    </row>
    <row r="630" spans="1:10" x14ac:dyDescent="0.3">
      <c r="A630" t="s">
        <v>1317</v>
      </c>
      <c r="B630" t="s">
        <v>1503</v>
      </c>
      <c r="C630" t="s">
        <v>1504</v>
      </c>
      <c r="D630" t="s">
        <v>108</v>
      </c>
      <c r="F630" t="s">
        <v>2322</v>
      </c>
      <c r="G630" t="str" cm="1">
        <f t="array" ref="G630">_xlfn.IFS(
ISNUMBER(SEARCH("hold",C630)),"hold",
ISNUMBER(SEARCH("youth",C630)),"youth",
ISNUMBER(SEARCH("juve",C630)),"youth",
OR(ISNUMBER(SEARCH("health",B630)),ISNUMBER(SEARCH("care ",B630)),ISNUMBER(SEARCH("psych",B630)),ISNUMBER(SEARCH("medical",B630)),ISNUMBER(SEARCH("hospital",B630))),"medical",
ISNUMBER(SEARCH("correct",B630)),"correctional",
ISNUMBER(SEARCH("process",B630)),"processing",
ISNUMBER(SEARCH("detention center",B630)),"detention",
ISNUMBER(SEARCH("detention fac",B630)),"detention",
ISNUMBER(SEARCH("staging",B630)),"staging",
ISNUMBER(SEARCH("prison",B630)),"prison",
ISNUMBER(SEARCH("penet",B630)),"prison",
ISNUMBER(SEARCH("jail",B630)),"jail",
ISNUMBER(SEARCH("detention",B630)),"detention",
ISNUMBER(SEARCH("sheriff",B630)),"sheriff/police",
ISNUMBER(SEARCH("police",B630)),"sheriff/police",
TRUE,""
)</f>
        <v>detention</v>
      </c>
      <c r="H630">
        <f>INDEX(Sheet2!B:B,MATCH(C630,Sheet2!A:A,0),1)</f>
        <v>3</v>
      </c>
      <c r="I630">
        <f>3-COUNTBLANK(D630:F630)</f>
        <v>2</v>
      </c>
      <c r="J630">
        <f>IF(I630&gt;=2,H630,0)</f>
        <v>3</v>
      </c>
    </row>
    <row r="631" spans="1:10" x14ac:dyDescent="0.3">
      <c r="A631" t="s">
        <v>1523</v>
      </c>
      <c r="B631" t="s">
        <v>517</v>
      </c>
      <c r="C631" t="s">
        <v>518</v>
      </c>
      <c r="D631" t="s">
        <v>174</v>
      </c>
      <c r="G631" t="str" cm="1">
        <f t="array" ref="G631">_xlfn.IFS(
ISNUMBER(SEARCH("hold",C631)),"hold",
ISNUMBER(SEARCH("youth",C631)),"youth",
ISNUMBER(SEARCH("juve",C631)),"youth",
OR(ISNUMBER(SEARCH("health",B631)),ISNUMBER(SEARCH("care ",B631)),ISNUMBER(SEARCH("psych",B631)),ISNUMBER(SEARCH("medical",B631)),ISNUMBER(SEARCH("hospital",B631))),"medical",
ISNUMBER(SEARCH("correct",B631)),"correctional",
ISNUMBER(SEARCH("process",B631)),"processing",
ISNUMBER(SEARCH("detention center",B631)),"detention",
ISNUMBER(SEARCH("detention fac",B631)),"detention",
ISNUMBER(SEARCH("staging",B631)),"staging",
ISNUMBER(SEARCH("prison",B631)),"prison",
ISNUMBER(SEARCH("penet",B631)),"prison",
ISNUMBER(SEARCH("jail",B631)),"jail",
ISNUMBER(SEARCH("detention",B631)),"detention",
ISNUMBER(SEARCH("sheriff",B631)),"sheriff/police",
ISNUMBER(SEARCH("police",B631)),"sheriff/police",
TRUE,""
)</f>
        <v>medical</v>
      </c>
      <c r="H631">
        <f>INDEX(Sheet2!B:B,MATCH(C631,Sheet2!A:A,0),1)</f>
        <v>1</v>
      </c>
      <c r="I631">
        <f>3-COUNTBLANK(D631:F631)</f>
        <v>1</v>
      </c>
      <c r="J631">
        <f>IF(I631&gt;=2,H631,0)</f>
        <v>0</v>
      </c>
    </row>
    <row r="632" spans="1:10" x14ac:dyDescent="0.3">
      <c r="A632" t="s">
        <v>1526</v>
      </c>
      <c r="B632" t="s">
        <v>549</v>
      </c>
      <c r="C632" t="s">
        <v>550</v>
      </c>
      <c r="D632" t="s">
        <v>72</v>
      </c>
      <c r="G632" t="str" cm="1">
        <f t="array" ref="G632">_xlfn.IFS(
ISNUMBER(SEARCH("hold",C632)),"hold",
ISNUMBER(SEARCH("youth",C632)),"youth",
ISNUMBER(SEARCH("juve",C632)),"youth",
OR(ISNUMBER(SEARCH("health",B632)),ISNUMBER(SEARCH("care ",B632)),ISNUMBER(SEARCH("psych",B632)),ISNUMBER(SEARCH("medical",B632)),ISNUMBER(SEARCH("hospital",B632))),"medical",
ISNUMBER(SEARCH("correct",B632)),"correctional",
ISNUMBER(SEARCH("process",B632)),"processing",
ISNUMBER(SEARCH("detention center",B632)),"detention",
ISNUMBER(SEARCH("detention fac",B632)),"detention",
ISNUMBER(SEARCH("staging",B632)),"staging",
ISNUMBER(SEARCH("prison",B632)),"prison",
ISNUMBER(SEARCH("penet",B632)),"prison",
ISNUMBER(SEARCH("jail",B632)),"jail",
ISNUMBER(SEARCH("detention",B632)),"detention",
ISNUMBER(SEARCH("sheriff",B632)),"sheriff/police",
ISNUMBER(SEARCH("police",B632)),"sheriff/police",
TRUE,""
)</f>
        <v>medical</v>
      </c>
      <c r="H632">
        <f>INDEX(Sheet2!B:B,MATCH(C632,Sheet2!A:A,0),1)</f>
        <v>1</v>
      </c>
      <c r="I632">
        <f>3-COUNTBLANK(D632:F632)</f>
        <v>1</v>
      </c>
      <c r="J632">
        <f>IF(I632&gt;=2,H632,0)</f>
        <v>0</v>
      </c>
    </row>
    <row r="633" spans="1:10" x14ac:dyDescent="0.3">
      <c r="A633" t="s">
        <v>1529</v>
      </c>
      <c r="B633" t="s">
        <v>564</v>
      </c>
      <c r="C633" t="s">
        <v>565</v>
      </c>
      <c r="D633" t="s">
        <v>194</v>
      </c>
      <c r="G633" t="str" cm="1">
        <f t="array" ref="G633">_xlfn.IFS(
ISNUMBER(SEARCH("hold",C633)),"hold",
ISNUMBER(SEARCH("youth",C633)),"youth",
ISNUMBER(SEARCH("juve",C633)),"youth",
OR(ISNUMBER(SEARCH("health",B633)),ISNUMBER(SEARCH("care ",B633)),ISNUMBER(SEARCH("psych",B633)),ISNUMBER(SEARCH("medical",B633)),ISNUMBER(SEARCH("hospital",B633))),"medical",
ISNUMBER(SEARCH("correct",B633)),"correctional",
ISNUMBER(SEARCH("process",B633)),"processing",
ISNUMBER(SEARCH("detention center",B633)),"detention",
ISNUMBER(SEARCH("detention fac",B633)),"detention",
ISNUMBER(SEARCH("staging",B633)),"staging",
ISNUMBER(SEARCH("prison",B633)),"prison",
ISNUMBER(SEARCH("penet",B633)),"prison",
ISNUMBER(SEARCH("jail",B633)),"jail",
ISNUMBER(SEARCH("detention",B633)),"detention",
ISNUMBER(SEARCH("sheriff",B633)),"sheriff/police",
ISNUMBER(SEARCH("police",B633)),"sheriff/police",
TRUE,""
)</f>
        <v>medical</v>
      </c>
      <c r="H633">
        <f>INDEX(Sheet2!B:B,MATCH(C633,Sheet2!A:A,0),1)</f>
        <v>1</v>
      </c>
      <c r="I633">
        <f>3-COUNTBLANK(D633:F633)</f>
        <v>1</v>
      </c>
      <c r="J633">
        <f>IF(I633&gt;=2,H633,0)</f>
        <v>0</v>
      </c>
    </row>
    <row r="634" spans="1:10" x14ac:dyDescent="0.3">
      <c r="A634" t="s">
        <v>1531</v>
      </c>
      <c r="B634" t="s">
        <v>580</v>
      </c>
      <c r="C634" t="s">
        <v>581</v>
      </c>
      <c r="D634" t="s">
        <v>15</v>
      </c>
      <c r="G634" t="str" cm="1">
        <f t="array" ref="G634">_xlfn.IFS(
ISNUMBER(SEARCH("hold",C634)),"hold",
ISNUMBER(SEARCH("youth",C634)),"youth",
ISNUMBER(SEARCH("juve",C634)),"youth",
OR(ISNUMBER(SEARCH("health",B634)),ISNUMBER(SEARCH("care ",B634)),ISNUMBER(SEARCH("psych",B634)),ISNUMBER(SEARCH("medical",B634)),ISNUMBER(SEARCH("hospital",B634))),"medical",
ISNUMBER(SEARCH("correct",B634)),"correctional",
ISNUMBER(SEARCH("process",B634)),"processing",
ISNUMBER(SEARCH("detention center",B634)),"detention",
ISNUMBER(SEARCH("detention fac",B634)),"detention",
ISNUMBER(SEARCH("staging",B634)),"staging",
ISNUMBER(SEARCH("prison",B634)),"prison",
ISNUMBER(SEARCH("penet",B634)),"prison",
ISNUMBER(SEARCH("jail",B634)),"jail",
ISNUMBER(SEARCH("detention",B634)),"detention",
ISNUMBER(SEARCH("sheriff",B634)),"sheriff/police",
ISNUMBER(SEARCH("police",B634)),"sheriff/police",
TRUE,""
)</f>
        <v>jail</v>
      </c>
      <c r="H634">
        <f>INDEX(Sheet2!B:B,MATCH(C634,Sheet2!A:A,0),1)</f>
        <v>1</v>
      </c>
      <c r="I634">
        <f>3-COUNTBLANK(D634:F634)</f>
        <v>1</v>
      </c>
      <c r="J634">
        <f>IF(I634&gt;=2,H634,0)</f>
        <v>0</v>
      </c>
    </row>
    <row r="635" spans="1:10" x14ac:dyDescent="0.3">
      <c r="A635" t="s">
        <v>1534</v>
      </c>
      <c r="B635" t="s">
        <v>610</v>
      </c>
      <c r="C635" t="s">
        <v>611</v>
      </c>
      <c r="D635" t="s">
        <v>6</v>
      </c>
      <c r="G635" t="str" cm="1">
        <f t="array" ref="G635">_xlfn.IFS(
ISNUMBER(SEARCH("hold",C635)),"hold",
ISNUMBER(SEARCH("youth",C635)),"youth",
ISNUMBER(SEARCH("juve",C635)),"youth",
OR(ISNUMBER(SEARCH("health",B635)),ISNUMBER(SEARCH("care ",B635)),ISNUMBER(SEARCH("psych",B635)),ISNUMBER(SEARCH("medical",B635)),ISNUMBER(SEARCH("hospital",B635))),"medical",
ISNUMBER(SEARCH("correct",B635)),"correctional",
ISNUMBER(SEARCH("process",B635)),"processing",
ISNUMBER(SEARCH("detention center",B635)),"detention",
ISNUMBER(SEARCH("detention fac",B635)),"detention",
ISNUMBER(SEARCH("staging",B635)),"staging",
ISNUMBER(SEARCH("prison",B635)),"prison",
ISNUMBER(SEARCH("penet",B635)),"prison",
ISNUMBER(SEARCH("jail",B635)),"jail",
ISNUMBER(SEARCH("detention",B635)),"detention",
ISNUMBER(SEARCH("sheriff",B635)),"sheriff/police",
ISNUMBER(SEARCH("police",B635)),"sheriff/police",
TRUE,""
)</f>
        <v>medical</v>
      </c>
      <c r="H635">
        <f>INDEX(Sheet2!B:B,MATCH(C635,Sheet2!A:A,0),1)</f>
        <v>1</v>
      </c>
      <c r="I635">
        <f>3-COUNTBLANK(D635:F635)</f>
        <v>1</v>
      </c>
      <c r="J635">
        <f>IF(I635&gt;=2,H635,0)</f>
        <v>0</v>
      </c>
    </row>
    <row r="636" spans="1:10" x14ac:dyDescent="0.3">
      <c r="A636" t="s">
        <v>1537</v>
      </c>
      <c r="B636" t="s">
        <v>740</v>
      </c>
      <c r="C636" t="s">
        <v>741</v>
      </c>
      <c r="D636" t="s">
        <v>23</v>
      </c>
      <c r="G636" t="str" cm="1">
        <f t="array" ref="G636">_xlfn.IFS(
ISNUMBER(SEARCH("hold",C636)),"hold",
ISNUMBER(SEARCH("youth",C636)),"youth",
ISNUMBER(SEARCH("juve",C636)),"youth",
OR(ISNUMBER(SEARCH("health",B636)),ISNUMBER(SEARCH("care ",B636)),ISNUMBER(SEARCH("psych",B636)),ISNUMBER(SEARCH("medical",B636)),ISNUMBER(SEARCH("hospital",B636))),"medical",
ISNUMBER(SEARCH("correct",B636)),"correctional",
ISNUMBER(SEARCH("process",B636)),"processing",
ISNUMBER(SEARCH("detention center",B636)),"detention",
ISNUMBER(SEARCH("detention fac",B636)),"detention",
ISNUMBER(SEARCH("staging",B636)),"staging",
ISNUMBER(SEARCH("prison",B636)),"prison",
ISNUMBER(SEARCH("penet",B636)),"prison",
ISNUMBER(SEARCH("jail",B636)),"jail",
ISNUMBER(SEARCH("detention",B636)),"detention",
ISNUMBER(SEARCH("sheriff",B636)),"sheriff/police",
ISNUMBER(SEARCH("police",B636)),"sheriff/police",
TRUE,""
)</f>
        <v>medical</v>
      </c>
      <c r="H636">
        <f>INDEX(Sheet2!B:B,MATCH(C636,Sheet2!A:A,0),1)</f>
        <v>1</v>
      </c>
      <c r="I636">
        <f>3-COUNTBLANK(D636:F636)</f>
        <v>1</v>
      </c>
      <c r="J636">
        <f>IF(I636&gt;=2,H636,0)</f>
        <v>0</v>
      </c>
    </row>
    <row r="637" spans="1:10" x14ac:dyDescent="0.3">
      <c r="A637" t="s">
        <v>1660</v>
      </c>
      <c r="B637" t="s">
        <v>1759</v>
      </c>
      <c r="C637" t="s">
        <v>1760</v>
      </c>
      <c r="D637" t="s">
        <v>6</v>
      </c>
      <c r="E637" t="s">
        <v>2432</v>
      </c>
      <c r="G637" t="str" cm="1">
        <f t="array" ref="G637">_xlfn.IFS(
ISNUMBER(SEARCH("hold",C637)),"hold",
ISNUMBER(SEARCH("youth",C637)),"youth",
ISNUMBER(SEARCH("juve",C637)),"youth",
OR(ISNUMBER(SEARCH("health",B637)),ISNUMBER(SEARCH("care ",B637)),ISNUMBER(SEARCH("psych",B637)),ISNUMBER(SEARCH("medical",B637)),ISNUMBER(SEARCH("hospital",B637))),"medical",
ISNUMBER(SEARCH("correct",B637)),"correctional",
ISNUMBER(SEARCH("process",B637)),"processing",
ISNUMBER(SEARCH("detention center",B637)),"detention",
ISNUMBER(SEARCH("detention fac",B637)),"detention",
ISNUMBER(SEARCH("staging",B637)),"staging",
ISNUMBER(SEARCH("prison",B637)),"prison",
ISNUMBER(SEARCH("penet",B637)),"prison",
ISNUMBER(SEARCH("jail",B637)),"jail",
ISNUMBER(SEARCH("detention",B637)),"detention",
ISNUMBER(SEARCH("sheriff",B637)),"sheriff/police",
ISNUMBER(SEARCH("police",B637)),"sheriff/police",
TRUE,""
)</f>
        <v/>
      </c>
      <c r="H637">
        <f>INDEX(Sheet2!B:B,MATCH(C637,Sheet2!A:A,0),1)</f>
        <v>16267</v>
      </c>
      <c r="I637">
        <f>3-COUNTBLANK(D637:F637)</f>
        <v>2</v>
      </c>
      <c r="J637">
        <f>IF(I637&gt;=2,H637,0)</f>
        <v>16267</v>
      </c>
    </row>
    <row r="638" spans="1:10" x14ac:dyDescent="0.3">
      <c r="A638" t="s">
        <v>1543</v>
      </c>
      <c r="B638" t="s">
        <v>925</v>
      </c>
      <c r="C638" t="s">
        <v>926</v>
      </c>
      <c r="D638" t="s">
        <v>72</v>
      </c>
      <c r="G638" t="str" cm="1">
        <f t="array" ref="G638">_xlfn.IFS(
ISNUMBER(SEARCH("hold",C638)),"hold",
ISNUMBER(SEARCH("youth",C638)),"youth",
ISNUMBER(SEARCH("juve",C638)),"youth",
OR(ISNUMBER(SEARCH("health",B638)),ISNUMBER(SEARCH("care ",B638)),ISNUMBER(SEARCH("psych",B638)),ISNUMBER(SEARCH("medical",B638)),ISNUMBER(SEARCH("hospital",B638))),"medical",
ISNUMBER(SEARCH("correct",B638)),"correctional",
ISNUMBER(SEARCH("process",B638)),"processing",
ISNUMBER(SEARCH("detention center",B638)),"detention",
ISNUMBER(SEARCH("detention fac",B638)),"detention",
ISNUMBER(SEARCH("staging",B638)),"staging",
ISNUMBER(SEARCH("prison",B638)),"prison",
ISNUMBER(SEARCH("penet",B638)),"prison",
ISNUMBER(SEARCH("jail",B638)),"jail",
ISNUMBER(SEARCH("detention",B638)),"detention",
ISNUMBER(SEARCH("sheriff",B638)),"sheriff/police",
ISNUMBER(SEARCH("police",B638)),"sheriff/police",
TRUE,""
)</f>
        <v>medical</v>
      </c>
      <c r="H638">
        <f>INDEX(Sheet2!B:B,MATCH(C638,Sheet2!A:A,0),1)</f>
        <v>1</v>
      </c>
      <c r="I638">
        <f>3-COUNTBLANK(D638:F638)</f>
        <v>1</v>
      </c>
      <c r="J638">
        <f>IF(I638&gt;=2,H638,0)</f>
        <v>0</v>
      </c>
    </row>
    <row r="639" spans="1:10" x14ac:dyDescent="0.3">
      <c r="A639" t="s">
        <v>1546</v>
      </c>
      <c r="B639" t="s">
        <v>928</v>
      </c>
      <c r="C639" t="s">
        <v>929</v>
      </c>
      <c r="D639" t="s">
        <v>50</v>
      </c>
      <c r="G639" t="str" cm="1">
        <f t="array" ref="G639">_xlfn.IFS(
ISNUMBER(SEARCH("hold",C639)),"hold",
ISNUMBER(SEARCH("youth",C639)),"youth",
ISNUMBER(SEARCH("juve",C639)),"youth",
OR(ISNUMBER(SEARCH("health",B639)),ISNUMBER(SEARCH("care ",B639)),ISNUMBER(SEARCH("psych",B639)),ISNUMBER(SEARCH("medical",B639)),ISNUMBER(SEARCH("hospital",B639))),"medical",
ISNUMBER(SEARCH("correct",B639)),"correctional",
ISNUMBER(SEARCH("process",B639)),"processing",
ISNUMBER(SEARCH("detention center",B639)),"detention",
ISNUMBER(SEARCH("detention fac",B639)),"detention",
ISNUMBER(SEARCH("staging",B639)),"staging",
ISNUMBER(SEARCH("prison",B639)),"prison",
ISNUMBER(SEARCH("penet",B639)),"prison",
ISNUMBER(SEARCH("jail",B639)),"jail",
ISNUMBER(SEARCH("detention",B639)),"detention",
ISNUMBER(SEARCH("sheriff",B639)),"sheriff/police",
ISNUMBER(SEARCH("police",B639)),"sheriff/police",
TRUE,""
)</f>
        <v>jail</v>
      </c>
      <c r="H639">
        <f>INDEX(Sheet2!B:B,MATCH(C639,Sheet2!A:A,0),1)</f>
        <v>1</v>
      </c>
      <c r="I639">
        <f>3-COUNTBLANK(D639:F639)</f>
        <v>1</v>
      </c>
      <c r="J639">
        <f>IF(I639&gt;=2,H639,0)</f>
        <v>0</v>
      </c>
    </row>
    <row r="640" spans="1:10" x14ac:dyDescent="0.3">
      <c r="A640" t="s">
        <v>1549</v>
      </c>
      <c r="B640" t="s">
        <v>398</v>
      </c>
      <c r="C640" t="s">
        <v>399</v>
      </c>
      <c r="G640" t="str" cm="1">
        <f t="array" ref="G640">_xlfn.IFS(
ISNUMBER(SEARCH("hold",C640)),"hold",
ISNUMBER(SEARCH("youth",C640)),"youth",
ISNUMBER(SEARCH("juve",C640)),"youth",
OR(ISNUMBER(SEARCH("health",B640)),ISNUMBER(SEARCH("care ",B640)),ISNUMBER(SEARCH("psych",B640)),ISNUMBER(SEARCH("medical",B640)),ISNUMBER(SEARCH("hospital",B640))),"medical",
ISNUMBER(SEARCH("correct",B640)),"correctional",
ISNUMBER(SEARCH("process",B640)),"processing",
ISNUMBER(SEARCH("detention center",B640)),"detention",
ISNUMBER(SEARCH("detention fac",B640)),"detention",
ISNUMBER(SEARCH("staging",B640)),"staging",
ISNUMBER(SEARCH("prison",B640)),"prison",
ISNUMBER(SEARCH("penet",B640)),"prison",
ISNUMBER(SEARCH("jail",B640)),"jail",
ISNUMBER(SEARCH("detention",B640)),"detention",
ISNUMBER(SEARCH("sheriff",B640)),"sheriff/police",
ISNUMBER(SEARCH("police",B640)),"sheriff/police",
TRUE,""
)</f>
        <v>correctional</v>
      </c>
      <c r="H640">
        <f>INDEX(Sheet2!B:B,MATCH(C640,Sheet2!A:A,0),1)</f>
        <v>1</v>
      </c>
      <c r="I640">
        <f>3-COUNTBLANK(D640:F640)</f>
        <v>0</v>
      </c>
      <c r="J640">
        <f>IF(I640&gt;=2,H640,0)</f>
        <v>0</v>
      </c>
    </row>
    <row r="641" spans="1:10" x14ac:dyDescent="0.3">
      <c r="A641" t="s">
        <v>1552</v>
      </c>
      <c r="B641" t="s">
        <v>734</v>
      </c>
      <c r="C641" t="s">
        <v>735</v>
      </c>
      <c r="G641" t="str" cm="1">
        <f t="array" ref="G641">_xlfn.IFS(
ISNUMBER(SEARCH("hold",C641)),"hold",
ISNUMBER(SEARCH("youth",C641)),"youth",
ISNUMBER(SEARCH("juve",C641)),"youth",
OR(ISNUMBER(SEARCH("health",B641)),ISNUMBER(SEARCH("care ",B641)),ISNUMBER(SEARCH("psych",B641)),ISNUMBER(SEARCH("medical",B641)),ISNUMBER(SEARCH("hospital",B641))),"medical",
ISNUMBER(SEARCH("correct",B641)),"correctional",
ISNUMBER(SEARCH("process",B641)),"processing",
ISNUMBER(SEARCH("detention center",B641)),"detention",
ISNUMBER(SEARCH("detention fac",B641)),"detention",
ISNUMBER(SEARCH("staging",B641)),"staging",
ISNUMBER(SEARCH("prison",B641)),"prison",
ISNUMBER(SEARCH("penet",B641)),"prison",
ISNUMBER(SEARCH("jail",B641)),"jail",
ISNUMBER(SEARCH("detention",B641)),"detention",
ISNUMBER(SEARCH("sheriff",B641)),"sheriff/police",
ISNUMBER(SEARCH("police",B641)),"sheriff/police",
TRUE,""
)</f>
        <v>correctional</v>
      </c>
      <c r="H641">
        <f>INDEX(Sheet2!B:B,MATCH(C641,Sheet2!A:A,0),1)</f>
        <v>1</v>
      </c>
      <c r="I641">
        <f>3-COUNTBLANK(D641:F641)</f>
        <v>0</v>
      </c>
      <c r="J641">
        <f>IF(I641&gt;=2,H641,0)</f>
        <v>0</v>
      </c>
    </row>
    <row r="642" spans="1:10" x14ac:dyDescent="0.3">
      <c r="A642" t="s">
        <v>1555</v>
      </c>
      <c r="B642" t="s">
        <v>2530</v>
      </c>
      <c r="C642" t="s">
        <v>1034</v>
      </c>
      <c r="D642" t="s">
        <v>50</v>
      </c>
      <c r="G642" t="str" cm="1">
        <f t="array" ref="G642">_xlfn.IFS(
ISNUMBER(SEARCH("hold",C642)),"hold",
ISNUMBER(SEARCH("youth",C642)),"youth",
ISNUMBER(SEARCH("juve",C642)),"youth",
OR(ISNUMBER(SEARCH("health",B642)),ISNUMBER(SEARCH("care ",B642)),ISNUMBER(SEARCH("psych",B642)),ISNUMBER(SEARCH("medical",B642)),ISNUMBER(SEARCH("hospital",B642))),"medical",
ISNUMBER(SEARCH("correct",B642)),"correctional",
ISNUMBER(SEARCH("process",B642)),"processing",
ISNUMBER(SEARCH("detention center",B642)),"detention",
ISNUMBER(SEARCH("detention fac",B642)),"detention",
ISNUMBER(SEARCH("staging",B642)),"staging",
ISNUMBER(SEARCH("prison",B642)),"prison",
ISNUMBER(SEARCH("penet",B642)),"prison",
ISNUMBER(SEARCH("jail",B642)),"jail",
ISNUMBER(SEARCH("detention",B642)),"detention",
ISNUMBER(SEARCH("sheriff",B642)),"sheriff/police",
ISNUMBER(SEARCH("police",B642)),"sheriff/police",
TRUE,""
)</f>
        <v>jail</v>
      </c>
      <c r="H642">
        <f>INDEX(Sheet2!B:B,MATCH(C642,Sheet2!A:A,0),1)</f>
        <v>1</v>
      </c>
      <c r="I642">
        <f>3-COUNTBLANK(D642:F642)</f>
        <v>1</v>
      </c>
      <c r="J642">
        <f>IF(I642&gt;=2,H642,0)</f>
        <v>0</v>
      </c>
    </row>
    <row r="643" spans="1:10" x14ac:dyDescent="0.3">
      <c r="A643" t="s">
        <v>1558</v>
      </c>
      <c r="B643" t="s">
        <v>1123</v>
      </c>
      <c r="C643" t="s">
        <v>1124</v>
      </c>
      <c r="D643" t="s">
        <v>185</v>
      </c>
      <c r="G643" t="str" cm="1">
        <f t="array" ref="G643">_xlfn.IFS(
ISNUMBER(SEARCH("hold",C643)),"hold",
ISNUMBER(SEARCH("youth",C643)),"youth",
ISNUMBER(SEARCH("juve",C643)),"youth",
OR(ISNUMBER(SEARCH("health",B643)),ISNUMBER(SEARCH("care ",B643)),ISNUMBER(SEARCH("psych",B643)),ISNUMBER(SEARCH("medical",B643)),ISNUMBER(SEARCH("hospital",B643))),"medical",
ISNUMBER(SEARCH("correct",B643)),"correctional",
ISNUMBER(SEARCH("process",B643)),"processing",
ISNUMBER(SEARCH("detention center",B643)),"detention",
ISNUMBER(SEARCH("detention fac",B643)),"detention",
ISNUMBER(SEARCH("staging",B643)),"staging",
ISNUMBER(SEARCH("prison",B643)),"prison",
ISNUMBER(SEARCH("penet",B643)),"prison",
ISNUMBER(SEARCH("jail",B643)),"jail",
ISNUMBER(SEARCH("detention",B643)),"detention",
ISNUMBER(SEARCH("sheriff",B643)),"sheriff/police",
ISNUMBER(SEARCH("police",B643)),"sheriff/police",
TRUE,""
)</f>
        <v>medical</v>
      </c>
      <c r="H643">
        <f>INDEX(Sheet2!B:B,MATCH(C643,Sheet2!A:A,0),1)</f>
        <v>1</v>
      </c>
      <c r="I643">
        <f>3-COUNTBLANK(D643:F643)</f>
        <v>1</v>
      </c>
      <c r="J643">
        <f>IF(I643&gt;=2,H643,0)</f>
        <v>0</v>
      </c>
    </row>
    <row r="644" spans="1:10" x14ac:dyDescent="0.3">
      <c r="A644" t="s">
        <v>1561</v>
      </c>
      <c r="B644" t="s">
        <v>1292</v>
      </c>
      <c r="C644" t="s">
        <v>1293</v>
      </c>
      <c r="D644" t="s">
        <v>31</v>
      </c>
      <c r="G644" t="str" cm="1">
        <f t="array" ref="G644">_xlfn.IFS(
ISNUMBER(SEARCH("hold",C644)),"hold",
ISNUMBER(SEARCH("youth",C644)),"youth",
ISNUMBER(SEARCH("juve",C644)),"youth",
OR(ISNUMBER(SEARCH("health",B644)),ISNUMBER(SEARCH("care ",B644)),ISNUMBER(SEARCH("psych",B644)),ISNUMBER(SEARCH("medical",B644)),ISNUMBER(SEARCH("hospital",B644))),"medical",
ISNUMBER(SEARCH("correct",B644)),"correctional",
ISNUMBER(SEARCH("process",B644)),"processing",
ISNUMBER(SEARCH("detention center",B644)),"detention",
ISNUMBER(SEARCH("detention fac",B644)),"detention",
ISNUMBER(SEARCH("staging",B644)),"staging",
ISNUMBER(SEARCH("prison",B644)),"prison",
ISNUMBER(SEARCH("penet",B644)),"prison",
ISNUMBER(SEARCH("jail",B644)),"jail",
ISNUMBER(SEARCH("detention",B644)),"detention",
ISNUMBER(SEARCH("sheriff",B644)),"sheriff/police",
ISNUMBER(SEARCH("police",B644)),"sheriff/police",
TRUE,""
)</f>
        <v>detention</v>
      </c>
      <c r="H644">
        <f>INDEX(Sheet2!B:B,MATCH(C644,Sheet2!A:A,0),1)</f>
        <v>1</v>
      </c>
      <c r="I644">
        <f>3-COUNTBLANK(D644:F644)</f>
        <v>1</v>
      </c>
      <c r="J644">
        <f>IF(I644&gt;=2,H644,0)</f>
        <v>0</v>
      </c>
    </row>
    <row r="645" spans="1:10" x14ac:dyDescent="0.3">
      <c r="A645" t="s">
        <v>1564</v>
      </c>
      <c r="B645" t="s">
        <v>1265</v>
      </c>
      <c r="C645" t="s">
        <v>1266</v>
      </c>
      <c r="D645" t="s">
        <v>50</v>
      </c>
      <c r="G645" t="str" cm="1">
        <f t="array" ref="G645">_xlfn.IFS(
ISNUMBER(SEARCH("hold",C645)),"hold",
ISNUMBER(SEARCH("youth",C645)),"youth",
ISNUMBER(SEARCH("juve",C645)),"youth",
OR(ISNUMBER(SEARCH("health",B645)),ISNUMBER(SEARCH("care ",B645)),ISNUMBER(SEARCH("psych",B645)),ISNUMBER(SEARCH("medical",B645)),ISNUMBER(SEARCH("hospital",B645))),"medical",
ISNUMBER(SEARCH("correct",B645)),"correctional",
ISNUMBER(SEARCH("process",B645)),"processing",
ISNUMBER(SEARCH("detention center",B645)),"detention",
ISNUMBER(SEARCH("detention fac",B645)),"detention",
ISNUMBER(SEARCH("staging",B645)),"staging",
ISNUMBER(SEARCH("prison",B645)),"prison",
ISNUMBER(SEARCH("penet",B645)),"prison",
ISNUMBER(SEARCH("jail",B645)),"jail",
ISNUMBER(SEARCH("detention",B645)),"detention",
ISNUMBER(SEARCH("sheriff",B645)),"sheriff/police",
ISNUMBER(SEARCH("police",B645)),"sheriff/police",
TRUE,""
)</f>
        <v>medical</v>
      </c>
      <c r="H645">
        <f>INDEX(Sheet2!B:B,MATCH(C645,Sheet2!A:A,0),1)</f>
        <v>1</v>
      </c>
      <c r="I645">
        <f>3-COUNTBLANK(D645:F645)</f>
        <v>1</v>
      </c>
      <c r="J645">
        <f>IF(I645&gt;=2,H645,0)</f>
        <v>0</v>
      </c>
    </row>
    <row r="646" spans="1:10" x14ac:dyDescent="0.3">
      <c r="A646" t="s">
        <v>1567</v>
      </c>
      <c r="B646" t="s">
        <v>1559</v>
      </c>
      <c r="C646" t="s">
        <v>1560</v>
      </c>
      <c r="D646" t="s">
        <v>231</v>
      </c>
      <c r="G646" t="str" cm="1">
        <f t="array" ref="G646">_xlfn.IFS(
ISNUMBER(SEARCH("hold",C646)),"hold",
ISNUMBER(SEARCH("youth",C646)),"youth",
ISNUMBER(SEARCH("juve",C646)),"youth",
OR(ISNUMBER(SEARCH("health",B646)),ISNUMBER(SEARCH("care ",B646)),ISNUMBER(SEARCH("psych",B646)),ISNUMBER(SEARCH("medical",B646)),ISNUMBER(SEARCH("hospital",B646))),"medical",
ISNUMBER(SEARCH("correct",B646)),"correctional",
ISNUMBER(SEARCH("process",B646)),"processing",
ISNUMBER(SEARCH("detention center",B646)),"detention",
ISNUMBER(SEARCH("detention fac",B646)),"detention",
ISNUMBER(SEARCH("staging",B646)),"staging",
ISNUMBER(SEARCH("prison",B646)),"prison",
ISNUMBER(SEARCH("penet",B646)),"prison",
ISNUMBER(SEARCH("jail",B646)),"jail",
ISNUMBER(SEARCH("detention",B646)),"detention",
ISNUMBER(SEARCH("sheriff",B646)),"sheriff/police",
ISNUMBER(SEARCH("police",B646)),"sheriff/police",
TRUE,""
)</f>
        <v>medical</v>
      </c>
      <c r="H646">
        <f>INDEX(Sheet2!B:B,MATCH(C646,Sheet2!A:A,0),1)</f>
        <v>1</v>
      </c>
      <c r="I646">
        <f>3-COUNTBLANK(D646:F646)</f>
        <v>1</v>
      </c>
      <c r="J646">
        <f>IF(I646&gt;=2,H646,0)</f>
        <v>0</v>
      </c>
    </row>
    <row r="647" spans="1:10" x14ac:dyDescent="0.3">
      <c r="A647" t="s">
        <v>1570</v>
      </c>
      <c r="B647" t="s">
        <v>2399</v>
      </c>
      <c r="C647" t="s">
        <v>1965</v>
      </c>
      <c r="D647" t="s">
        <v>108</v>
      </c>
      <c r="F647" t="s">
        <v>2401</v>
      </c>
      <c r="G647" t="str" cm="1">
        <f t="array" ref="G647">_xlfn.IFS(
ISNUMBER(SEARCH("hold",C647)),"hold",
ISNUMBER(SEARCH("youth",C647)),"youth",
ISNUMBER(SEARCH("juve",C647)),"youth",
OR(ISNUMBER(SEARCH("health",B647)),ISNUMBER(SEARCH("care ",B647)),ISNUMBER(SEARCH("psych",B647)),ISNUMBER(SEARCH("medical",B647)),ISNUMBER(SEARCH("hospital",B647))),"medical",
ISNUMBER(SEARCH("correct",B647)),"correctional",
ISNUMBER(SEARCH("process",B647)),"processing",
ISNUMBER(SEARCH("detention center",B647)),"detention",
ISNUMBER(SEARCH("detention fac",B647)),"detention",
ISNUMBER(SEARCH("staging",B647)),"staging",
ISNUMBER(SEARCH("prison",B647)),"prison",
ISNUMBER(SEARCH("penet",B647)),"prison",
ISNUMBER(SEARCH("jail",B647)),"jail",
ISNUMBER(SEARCH("detention",B647)),"detention",
ISNUMBER(SEARCH("sheriff",B647)),"sheriff/police",
ISNUMBER(SEARCH("police",B647)),"sheriff/police",
TRUE,""
)</f>
        <v>detention</v>
      </c>
      <c r="H647">
        <f>INDEX(Sheet2!B:B,MATCH(C647,Sheet2!A:A,0),1)</f>
        <v>1</v>
      </c>
      <c r="I647">
        <f>3-COUNTBLANK(D647:F647)</f>
        <v>2</v>
      </c>
      <c r="J647">
        <f>IF(I647&gt;=2,H647,0)</f>
        <v>1</v>
      </c>
    </row>
    <row r="648" spans="1:10" x14ac:dyDescent="0.3">
      <c r="A648" t="s">
        <v>1574</v>
      </c>
      <c r="B648" t="s">
        <v>1428</v>
      </c>
      <c r="C648" t="s">
        <v>1429</v>
      </c>
      <c r="D648" t="s">
        <v>78</v>
      </c>
      <c r="G648" t="str" cm="1">
        <f t="array" ref="G648">_xlfn.IFS(
ISNUMBER(SEARCH("hold",C648)),"hold",
ISNUMBER(SEARCH("youth",C648)),"youth",
ISNUMBER(SEARCH("juve",C648)),"youth",
OR(ISNUMBER(SEARCH("health",B648)),ISNUMBER(SEARCH("care ",B648)),ISNUMBER(SEARCH("psych",B648)),ISNUMBER(SEARCH("medical",B648)),ISNUMBER(SEARCH("hospital",B648))),"medical",
ISNUMBER(SEARCH("correct",B648)),"correctional",
ISNUMBER(SEARCH("process",B648)),"processing",
ISNUMBER(SEARCH("detention center",B648)),"detention",
ISNUMBER(SEARCH("detention fac",B648)),"detention",
ISNUMBER(SEARCH("staging",B648)),"staging",
ISNUMBER(SEARCH("prison",B648)),"prison",
ISNUMBER(SEARCH("penet",B648)),"prison",
ISNUMBER(SEARCH("jail",B648)),"jail",
ISNUMBER(SEARCH("detention",B648)),"detention",
ISNUMBER(SEARCH("sheriff",B648)),"sheriff/police",
ISNUMBER(SEARCH("police",B648)),"sheriff/police",
TRUE,""
)</f>
        <v>medical</v>
      </c>
      <c r="H648">
        <f>INDEX(Sheet2!B:B,MATCH(C648,Sheet2!A:A,0),1)</f>
        <v>1</v>
      </c>
      <c r="I648">
        <f>3-COUNTBLANK(D648:F648)</f>
        <v>1</v>
      </c>
      <c r="J648">
        <f>IF(I648&gt;=2,H648,0)</f>
        <v>0</v>
      </c>
    </row>
    <row r="649" spans="1:10" x14ac:dyDescent="0.3">
      <c r="A649" t="s">
        <v>1577</v>
      </c>
      <c r="B649" t="s">
        <v>1434</v>
      </c>
      <c r="C649" t="s">
        <v>1435</v>
      </c>
      <c r="D649" t="s">
        <v>112</v>
      </c>
      <c r="G649" t="str" cm="1">
        <f t="array" ref="G649">_xlfn.IFS(
ISNUMBER(SEARCH("hold",C649)),"hold",
ISNUMBER(SEARCH("youth",C649)),"youth",
ISNUMBER(SEARCH("juve",C649)),"youth",
OR(ISNUMBER(SEARCH("health",B649)),ISNUMBER(SEARCH("care ",B649)),ISNUMBER(SEARCH("psych",B649)),ISNUMBER(SEARCH("medical",B649)),ISNUMBER(SEARCH("hospital",B649))),"medical",
ISNUMBER(SEARCH("correct",B649)),"correctional",
ISNUMBER(SEARCH("process",B649)),"processing",
ISNUMBER(SEARCH("detention center",B649)),"detention",
ISNUMBER(SEARCH("detention fac",B649)),"detention",
ISNUMBER(SEARCH("staging",B649)),"staging",
ISNUMBER(SEARCH("prison",B649)),"prison",
ISNUMBER(SEARCH("penet",B649)),"prison",
ISNUMBER(SEARCH("jail",B649)),"jail",
ISNUMBER(SEARCH("detention",B649)),"detention",
ISNUMBER(SEARCH("sheriff",B649)),"sheriff/police",
ISNUMBER(SEARCH("police",B649)),"sheriff/police",
TRUE,""
)</f>
        <v>medical</v>
      </c>
      <c r="H649">
        <f>INDEX(Sheet2!B:B,MATCH(C649,Sheet2!A:A,0),1)</f>
        <v>1</v>
      </c>
      <c r="I649">
        <f>3-COUNTBLANK(D649:F649)</f>
        <v>1</v>
      </c>
      <c r="J649">
        <f>IF(I649&gt;=2,H649,0)</f>
        <v>0</v>
      </c>
    </row>
    <row r="650" spans="1:10" x14ac:dyDescent="0.3">
      <c r="A650" t="s">
        <v>1580</v>
      </c>
      <c r="B650" t="s">
        <v>1484</v>
      </c>
      <c r="C650" t="s">
        <v>1485</v>
      </c>
      <c r="D650" t="s">
        <v>50</v>
      </c>
      <c r="G650" t="str" cm="1">
        <f t="array" ref="G650">_xlfn.IFS(
ISNUMBER(SEARCH("hold",C650)),"hold",
ISNUMBER(SEARCH("youth",C650)),"youth",
ISNUMBER(SEARCH("juve",C650)),"youth",
OR(ISNUMBER(SEARCH("health",B650)),ISNUMBER(SEARCH("care ",B650)),ISNUMBER(SEARCH("psych",B650)),ISNUMBER(SEARCH("medical",B650)),ISNUMBER(SEARCH("hospital",B650))),"medical",
ISNUMBER(SEARCH("correct",B650)),"correctional",
ISNUMBER(SEARCH("process",B650)),"processing",
ISNUMBER(SEARCH("detention center",B650)),"detention",
ISNUMBER(SEARCH("detention fac",B650)),"detention",
ISNUMBER(SEARCH("staging",B650)),"staging",
ISNUMBER(SEARCH("prison",B650)),"prison",
ISNUMBER(SEARCH("penet",B650)),"prison",
ISNUMBER(SEARCH("jail",B650)),"jail",
ISNUMBER(SEARCH("detention",B650)),"detention",
ISNUMBER(SEARCH("sheriff",B650)),"sheriff/police",
ISNUMBER(SEARCH("police",B650)),"sheriff/police",
TRUE,""
)</f>
        <v>jail</v>
      </c>
      <c r="H650">
        <f>INDEX(Sheet2!B:B,MATCH(C650,Sheet2!A:A,0),1)</f>
        <v>1</v>
      </c>
      <c r="I650">
        <f>3-COUNTBLANK(D650:F650)</f>
        <v>1</v>
      </c>
      <c r="J650">
        <f>IF(I650&gt;=2,H650,0)</f>
        <v>0</v>
      </c>
    </row>
    <row r="651" spans="1:10" x14ac:dyDescent="0.3">
      <c r="A651" t="s">
        <v>1583</v>
      </c>
      <c r="B651" t="s">
        <v>1074</v>
      </c>
      <c r="C651" t="s">
        <v>1075</v>
      </c>
      <c r="G651" t="str" cm="1">
        <f t="array" ref="G651">_xlfn.IFS(
ISNUMBER(SEARCH("hold",C651)),"hold",
ISNUMBER(SEARCH("youth",C651)),"youth",
ISNUMBER(SEARCH("juve",C651)),"youth",
OR(ISNUMBER(SEARCH("health",B651)),ISNUMBER(SEARCH("care ",B651)),ISNUMBER(SEARCH("psych",B651)),ISNUMBER(SEARCH("medical",B651)),ISNUMBER(SEARCH("hospital",B651))),"medical",
ISNUMBER(SEARCH("correct",B651)),"correctional",
ISNUMBER(SEARCH("process",B651)),"processing",
ISNUMBER(SEARCH("detention center",B651)),"detention",
ISNUMBER(SEARCH("detention fac",B651)),"detention",
ISNUMBER(SEARCH("staging",B651)),"staging",
ISNUMBER(SEARCH("prison",B651)),"prison",
ISNUMBER(SEARCH("penet",B651)),"prison",
ISNUMBER(SEARCH("jail",B651)),"jail",
ISNUMBER(SEARCH("detention",B651)),"detention",
ISNUMBER(SEARCH("sheriff",B651)),"sheriff/police",
ISNUMBER(SEARCH("police",B651)),"sheriff/police",
TRUE,""
)</f>
        <v>jail</v>
      </c>
      <c r="H651">
        <f>INDEX(Sheet2!B:B,MATCH(C651,Sheet2!A:A,0),1)</f>
        <v>1</v>
      </c>
      <c r="I651">
        <f>3-COUNTBLANK(D651:F651)</f>
        <v>0</v>
      </c>
      <c r="J651">
        <f>IF(I651&gt;=2,H651,0)</f>
        <v>0</v>
      </c>
    </row>
  </sheetData>
  <autoFilter ref="A2:J651" xr:uid="{00000000-0001-0000-0000-000000000000}">
    <sortState xmlns:xlrd2="http://schemas.microsoft.com/office/spreadsheetml/2017/richdata2" ref="A26:J637">
      <sortCondition ref="C2:C65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8298-74AA-4F09-8B49-63ACF5B79171}">
  <dimension ref="A1:H852"/>
  <sheetViews>
    <sheetView workbookViewId="0">
      <selection activeCell="H20" sqref="H20"/>
    </sheetView>
  </sheetViews>
  <sheetFormatPr defaultRowHeight="14.4" x14ac:dyDescent="0.3"/>
  <cols>
    <col min="6" max="6" width="35.5546875" customWidth="1"/>
  </cols>
  <sheetData>
    <row r="1" spans="1:7" x14ac:dyDescent="0.3">
      <c r="A1" t="s">
        <v>1617</v>
      </c>
      <c r="B1">
        <v>84941</v>
      </c>
    </row>
    <row r="2" spans="1:7" x14ac:dyDescent="0.3">
      <c r="A2" t="s">
        <v>1066</v>
      </c>
      <c r="B2">
        <v>66973</v>
      </c>
    </row>
    <row r="3" spans="1:7" x14ac:dyDescent="0.3">
      <c r="A3" t="s">
        <v>281</v>
      </c>
      <c r="B3">
        <v>65977</v>
      </c>
    </row>
    <row r="4" spans="1:7" x14ac:dyDescent="0.3">
      <c r="A4" t="s">
        <v>1049</v>
      </c>
      <c r="B4">
        <v>35285</v>
      </c>
    </row>
    <row r="5" spans="1:7" x14ac:dyDescent="0.3">
      <c r="A5" t="s">
        <v>858</v>
      </c>
      <c r="B5">
        <v>32270</v>
      </c>
    </row>
    <row r="6" spans="1:7" x14ac:dyDescent="0.3">
      <c r="A6" t="s">
        <v>207</v>
      </c>
      <c r="B6">
        <v>28159</v>
      </c>
    </row>
    <row r="7" spans="1:7" x14ac:dyDescent="0.3">
      <c r="A7" t="s">
        <v>981</v>
      </c>
      <c r="B7">
        <v>27619</v>
      </c>
      <c r="F7" t="s">
        <v>2414</v>
      </c>
      <c r="G7" t="s">
        <v>35</v>
      </c>
    </row>
    <row r="8" spans="1:7" x14ac:dyDescent="0.3">
      <c r="A8" t="s">
        <v>1305</v>
      </c>
      <c r="B8">
        <v>27318</v>
      </c>
      <c r="F8" t="s">
        <v>2466</v>
      </c>
      <c r="G8" t="s">
        <v>152</v>
      </c>
    </row>
    <row r="9" spans="1:7" x14ac:dyDescent="0.3">
      <c r="A9" t="s">
        <v>1338</v>
      </c>
      <c r="B9">
        <v>26209</v>
      </c>
      <c r="F9" t="s">
        <v>2415</v>
      </c>
      <c r="G9" t="s">
        <v>72</v>
      </c>
    </row>
    <row r="10" spans="1:7" x14ac:dyDescent="0.3">
      <c r="A10" t="s">
        <v>1554</v>
      </c>
      <c r="B10">
        <v>25935</v>
      </c>
      <c r="F10" t="s">
        <v>2235</v>
      </c>
      <c r="G10" t="s">
        <v>15</v>
      </c>
    </row>
    <row r="11" spans="1:7" x14ac:dyDescent="0.3">
      <c r="A11" t="s">
        <v>278</v>
      </c>
      <c r="B11">
        <v>25888</v>
      </c>
      <c r="F11" t="s">
        <v>2417</v>
      </c>
      <c r="G11" t="s">
        <v>72</v>
      </c>
    </row>
    <row r="12" spans="1:7" x14ac:dyDescent="0.3">
      <c r="A12" t="s">
        <v>1588</v>
      </c>
      <c r="B12">
        <v>25721</v>
      </c>
      <c r="F12" t="s">
        <v>2497</v>
      </c>
      <c r="G12" t="s">
        <v>42</v>
      </c>
    </row>
    <row r="13" spans="1:7" x14ac:dyDescent="0.3">
      <c r="A13" t="s">
        <v>1084</v>
      </c>
      <c r="B13">
        <v>25666</v>
      </c>
      <c r="F13" t="s">
        <v>2420</v>
      </c>
      <c r="G13" t="s">
        <v>134</v>
      </c>
    </row>
    <row r="14" spans="1:7" x14ac:dyDescent="0.3">
      <c r="A14" t="s">
        <v>587</v>
      </c>
      <c r="B14">
        <v>25522</v>
      </c>
      <c r="F14" t="s">
        <v>2419</v>
      </c>
      <c r="G14" t="s">
        <v>10</v>
      </c>
    </row>
    <row r="15" spans="1:7" x14ac:dyDescent="0.3">
      <c r="A15" t="s">
        <v>192</v>
      </c>
      <c r="B15">
        <v>22591</v>
      </c>
      <c r="F15" t="s">
        <v>2473</v>
      </c>
      <c r="G15" t="s">
        <v>73</v>
      </c>
    </row>
    <row r="16" spans="1:7" x14ac:dyDescent="0.3">
      <c r="A16" t="s">
        <v>1952</v>
      </c>
      <c r="B16">
        <v>21935</v>
      </c>
      <c r="F16" t="s">
        <v>2495</v>
      </c>
      <c r="G16" t="s">
        <v>82</v>
      </c>
    </row>
    <row r="17" spans="1:7" x14ac:dyDescent="0.3">
      <c r="A17" t="s">
        <v>77</v>
      </c>
      <c r="B17">
        <v>21680</v>
      </c>
      <c r="F17" t="s">
        <v>2405</v>
      </c>
      <c r="G17" t="s">
        <v>42</v>
      </c>
    </row>
    <row r="18" spans="1:7" x14ac:dyDescent="0.3">
      <c r="A18" t="s">
        <v>1961</v>
      </c>
      <c r="B18">
        <v>21573</v>
      </c>
      <c r="F18" t="s">
        <v>2482</v>
      </c>
      <c r="G18" t="s">
        <v>88</v>
      </c>
    </row>
    <row r="19" spans="1:7" x14ac:dyDescent="0.3">
      <c r="A19" t="s">
        <v>1837</v>
      </c>
      <c r="B19">
        <v>21503</v>
      </c>
      <c r="F19" t="s">
        <v>2491</v>
      </c>
      <c r="G19" t="s">
        <v>42</v>
      </c>
    </row>
    <row r="20" spans="1:7" x14ac:dyDescent="0.3">
      <c r="A20" t="s">
        <v>530</v>
      </c>
      <c r="B20">
        <v>21503</v>
      </c>
      <c r="F20" t="s">
        <v>2292</v>
      </c>
      <c r="G20" t="s">
        <v>159</v>
      </c>
    </row>
    <row r="21" spans="1:7" x14ac:dyDescent="0.3">
      <c r="A21" t="s">
        <v>855</v>
      </c>
      <c r="B21">
        <v>21420</v>
      </c>
      <c r="F21" t="s">
        <v>2460</v>
      </c>
      <c r="G21" t="s">
        <v>204</v>
      </c>
    </row>
    <row r="22" spans="1:7" x14ac:dyDescent="0.3">
      <c r="A22" t="s">
        <v>197</v>
      </c>
      <c r="B22">
        <v>20063</v>
      </c>
      <c r="F22" t="s">
        <v>2236</v>
      </c>
      <c r="G22" t="s">
        <v>238</v>
      </c>
    </row>
    <row r="23" spans="1:7" x14ac:dyDescent="0.3">
      <c r="A23" t="s">
        <v>1724</v>
      </c>
      <c r="B23">
        <v>18893</v>
      </c>
      <c r="F23" t="s">
        <v>542</v>
      </c>
      <c r="G23" t="s">
        <v>78</v>
      </c>
    </row>
    <row r="24" spans="1:7" x14ac:dyDescent="0.3">
      <c r="A24" t="s">
        <v>1760</v>
      </c>
      <c r="B24">
        <v>16267</v>
      </c>
      <c r="F24" t="s">
        <v>2494</v>
      </c>
      <c r="G24" t="s">
        <v>170</v>
      </c>
    </row>
    <row r="25" spans="1:7" x14ac:dyDescent="0.3">
      <c r="A25" t="s">
        <v>547</v>
      </c>
      <c r="B25">
        <v>16030</v>
      </c>
      <c r="F25" t="s">
        <v>2454</v>
      </c>
      <c r="G25" t="s">
        <v>170</v>
      </c>
    </row>
    <row r="26" spans="1:7" x14ac:dyDescent="0.3">
      <c r="A26" t="s">
        <v>502</v>
      </c>
      <c r="B26">
        <v>15993</v>
      </c>
      <c r="F26" t="s">
        <v>2483</v>
      </c>
      <c r="G26" t="s">
        <v>170</v>
      </c>
    </row>
    <row r="27" spans="1:7" x14ac:dyDescent="0.3">
      <c r="A27" t="s">
        <v>188</v>
      </c>
      <c r="B27">
        <v>15792</v>
      </c>
      <c r="F27" t="s">
        <v>2455</v>
      </c>
      <c r="G27" t="s">
        <v>35</v>
      </c>
    </row>
    <row r="28" spans="1:7" x14ac:dyDescent="0.3">
      <c r="A28" t="s">
        <v>1300</v>
      </c>
      <c r="B28">
        <v>15624</v>
      </c>
      <c r="F28" t="s">
        <v>2226</v>
      </c>
      <c r="G28" t="s">
        <v>35</v>
      </c>
    </row>
    <row r="29" spans="1:7" x14ac:dyDescent="0.3">
      <c r="A29" t="s">
        <v>864</v>
      </c>
      <c r="B29">
        <v>15546</v>
      </c>
      <c r="F29" t="s">
        <v>2479</v>
      </c>
      <c r="G29" t="s">
        <v>88</v>
      </c>
    </row>
    <row r="30" spans="1:7" x14ac:dyDescent="0.3">
      <c r="A30" t="s">
        <v>98</v>
      </c>
      <c r="B30">
        <v>15546</v>
      </c>
      <c r="F30" t="s">
        <v>2474</v>
      </c>
      <c r="G30" t="s">
        <v>116</v>
      </c>
    </row>
    <row r="31" spans="1:7" x14ac:dyDescent="0.3">
      <c r="A31" t="s">
        <v>494</v>
      </c>
      <c r="B31">
        <v>15377</v>
      </c>
      <c r="F31" t="s">
        <v>2492</v>
      </c>
      <c r="G31" t="s">
        <v>35</v>
      </c>
    </row>
    <row r="32" spans="1:7" x14ac:dyDescent="0.3">
      <c r="A32" t="s">
        <v>1302</v>
      </c>
      <c r="B32">
        <v>14912</v>
      </c>
      <c r="F32" t="s">
        <v>2478</v>
      </c>
      <c r="G32" t="s">
        <v>178</v>
      </c>
    </row>
    <row r="33" spans="1:8" x14ac:dyDescent="0.3">
      <c r="A33" t="s">
        <v>1142</v>
      </c>
      <c r="B33">
        <v>14662</v>
      </c>
      <c r="F33" t="s">
        <v>2481</v>
      </c>
      <c r="G33" t="s">
        <v>2500</v>
      </c>
      <c r="H33" t="s">
        <v>2501</v>
      </c>
    </row>
    <row r="34" spans="1:8" x14ac:dyDescent="0.3">
      <c r="A34" t="s">
        <v>1027</v>
      </c>
      <c r="B34">
        <v>14656</v>
      </c>
      <c r="F34" t="s">
        <v>2493</v>
      </c>
      <c r="G34" t="s">
        <v>27</v>
      </c>
    </row>
    <row r="35" spans="1:8" x14ac:dyDescent="0.3">
      <c r="A35" t="s">
        <v>694</v>
      </c>
      <c r="B35">
        <v>13945</v>
      </c>
      <c r="F35" t="s">
        <v>319</v>
      </c>
      <c r="G35" t="s">
        <v>108</v>
      </c>
    </row>
    <row r="36" spans="1:8" x14ac:dyDescent="0.3">
      <c r="A36" t="s">
        <v>1664</v>
      </c>
      <c r="B36">
        <v>12934</v>
      </c>
      <c r="F36" t="s">
        <v>2446</v>
      </c>
      <c r="G36" t="s">
        <v>31</v>
      </c>
    </row>
    <row r="37" spans="1:8" x14ac:dyDescent="0.3">
      <c r="A37" t="s">
        <v>1654</v>
      </c>
      <c r="B37">
        <v>12564</v>
      </c>
      <c r="F37" t="s">
        <v>2490</v>
      </c>
      <c r="G37" t="s">
        <v>35</v>
      </c>
    </row>
    <row r="38" spans="1:8" x14ac:dyDescent="0.3">
      <c r="A38" t="s">
        <v>1145</v>
      </c>
      <c r="B38">
        <v>12550</v>
      </c>
      <c r="F38" t="s">
        <v>2499</v>
      </c>
      <c r="G38" t="s">
        <v>68</v>
      </c>
    </row>
    <row r="39" spans="1:8" x14ac:dyDescent="0.3">
      <c r="A39" t="s">
        <v>1748</v>
      </c>
      <c r="B39">
        <v>12393</v>
      </c>
      <c r="F39" t="s">
        <v>2471</v>
      </c>
      <c r="G39" t="s">
        <v>14</v>
      </c>
    </row>
    <row r="40" spans="1:8" x14ac:dyDescent="0.3">
      <c r="A40" t="s">
        <v>199</v>
      </c>
      <c r="B40">
        <v>12203</v>
      </c>
      <c r="F40" t="s">
        <v>63</v>
      </c>
      <c r="G40" t="s">
        <v>64</v>
      </c>
    </row>
    <row r="41" spans="1:8" x14ac:dyDescent="0.3">
      <c r="A41" t="s">
        <v>946</v>
      </c>
      <c r="B41">
        <v>12048</v>
      </c>
      <c r="F41" t="s">
        <v>2472</v>
      </c>
      <c r="G41" t="s">
        <v>50</v>
      </c>
    </row>
    <row r="42" spans="1:8" x14ac:dyDescent="0.3">
      <c r="A42" t="s">
        <v>296</v>
      </c>
      <c r="B42">
        <v>11813</v>
      </c>
      <c r="F42" t="s">
        <v>2496</v>
      </c>
      <c r="G42" t="s">
        <v>204</v>
      </c>
    </row>
    <row r="43" spans="1:8" x14ac:dyDescent="0.3">
      <c r="A43" t="s">
        <v>1769</v>
      </c>
      <c r="B43">
        <v>10523</v>
      </c>
      <c r="F43" t="s">
        <v>2227</v>
      </c>
      <c r="G43" t="s">
        <v>72</v>
      </c>
    </row>
    <row r="44" spans="1:8" x14ac:dyDescent="0.3">
      <c r="A44" t="s">
        <v>940</v>
      </c>
      <c r="B44">
        <v>10254</v>
      </c>
      <c r="F44" t="s">
        <v>2487</v>
      </c>
      <c r="G44" t="s">
        <v>73</v>
      </c>
    </row>
    <row r="45" spans="1:8" x14ac:dyDescent="0.3">
      <c r="A45" t="s">
        <v>806</v>
      </c>
      <c r="B45">
        <v>10230</v>
      </c>
      <c r="F45" t="s">
        <v>2453</v>
      </c>
      <c r="G45" t="s">
        <v>83</v>
      </c>
    </row>
    <row r="46" spans="1:8" x14ac:dyDescent="0.3">
      <c r="A46" t="s">
        <v>508</v>
      </c>
      <c r="B46">
        <v>9698</v>
      </c>
      <c r="F46" t="s">
        <v>531</v>
      </c>
      <c r="G46" t="s">
        <v>125</v>
      </c>
    </row>
    <row r="47" spans="1:8" x14ac:dyDescent="0.3">
      <c r="A47" t="s">
        <v>584</v>
      </c>
      <c r="B47">
        <v>9545</v>
      </c>
      <c r="F47" t="s">
        <v>575</v>
      </c>
      <c r="G47" t="s">
        <v>204</v>
      </c>
    </row>
    <row r="48" spans="1:8" x14ac:dyDescent="0.3">
      <c r="A48" t="s">
        <v>1214</v>
      </c>
      <c r="B48">
        <v>9258</v>
      </c>
      <c r="F48" t="s">
        <v>2486</v>
      </c>
      <c r="G48" t="s">
        <v>152</v>
      </c>
    </row>
    <row r="49" spans="1:7" x14ac:dyDescent="0.3">
      <c r="A49" t="s">
        <v>975</v>
      </c>
      <c r="B49">
        <v>8718</v>
      </c>
      <c r="F49" t="s">
        <v>2498</v>
      </c>
      <c r="G49" t="s">
        <v>72</v>
      </c>
    </row>
    <row r="50" spans="1:7" x14ac:dyDescent="0.3">
      <c r="A50" t="s">
        <v>1139</v>
      </c>
      <c r="B50">
        <v>8587</v>
      </c>
      <c r="F50" t="s">
        <v>2475</v>
      </c>
      <c r="G50" t="s">
        <v>82</v>
      </c>
    </row>
    <row r="51" spans="1:7" x14ac:dyDescent="0.3">
      <c r="A51" t="s">
        <v>119</v>
      </c>
      <c r="B51">
        <v>8563</v>
      </c>
      <c r="F51" t="s">
        <v>713</v>
      </c>
      <c r="G51" t="s">
        <v>72</v>
      </c>
    </row>
    <row r="52" spans="1:7" x14ac:dyDescent="0.3">
      <c r="A52" t="s">
        <v>215</v>
      </c>
      <c r="B52">
        <v>8302</v>
      </c>
      <c r="F52" t="s">
        <v>2440</v>
      </c>
      <c r="G52" t="s">
        <v>72</v>
      </c>
    </row>
    <row r="53" spans="1:7" x14ac:dyDescent="0.3">
      <c r="A53" t="s">
        <v>1370</v>
      </c>
      <c r="B53">
        <v>8253</v>
      </c>
      <c r="F53" t="s">
        <v>442</v>
      </c>
      <c r="G53" t="s">
        <v>6</v>
      </c>
    </row>
    <row r="54" spans="1:7" x14ac:dyDescent="0.3">
      <c r="A54" t="s">
        <v>1287</v>
      </c>
      <c r="B54">
        <v>8068</v>
      </c>
      <c r="F54" t="s">
        <v>2465</v>
      </c>
      <c r="G54" t="s">
        <v>133</v>
      </c>
    </row>
    <row r="55" spans="1:7" x14ac:dyDescent="0.3">
      <c r="A55" t="s">
        <v>1927</v>
      </c>
      <c r="B55">
        <v>7963</v>
      </c>
      <c r="F55" t="s">
        <v>2462</v>
      </c>
      <c r="G55" t="s">
        <v>10</v>
      </c>
    </row>
    <row r="56" spans="1:7" x14ac:dyDescent="0.3">
      <c r="A56" t="s">
        <v>1229</v>
      </c>
      <c r="B56">
        <v>7948</v>
      </c>
      <c r="F56" t="s">
        <v>2480</v>
      </c>
      <c r="G56" t="s">
        <v>204</v>
      </c>
    </row>
    <row r="57" spans="1:7" x14ac:dyDescent="0.3">
      <c r="A57" t="s">
        <v>1661</v>
      </c>
      <c r="B57">
        <v>7946</v>
      </c>
      <c r="F57" t="s">
        <v>2467</v>
      </c>
      <c r="G57" t="s">
        <v>87</v>
      </c>
    </row>
    <row r="58" spans="1:7" x14ac:dyDescent="0.3">
      <c r="A58" t="s">
        <v>1032</v>
      </c>
      <c r="B58">
        <v>7941</v>
      </c>
      <c r="F58" t="s">
        <v>2437</v>
      </c>
      <c r="G58" t="s">
        <v>6</v>
      </c>
    </row>
    <row r="59" spans="1:7" x14ac:dyDescent="0.3">
      <c r="A59" t="s">
        <v>1512</v>
      </c>
      <c r="B59">
        <v>7939</v>
      </c>
      <c r="F59" t="s">
        <v>2463</v>
      </c>
      <c r="G59" t="s">
        <v>185</v>
      </c>
    </row>
    <row r="60" spans="1:7" x14ac:dyDescent="0.3">
      <c r="A60" t="s">
        <v>757</v>
      </c>
      <c r="B60">
        <v>7902</v>
      </c>
      <c r="F60" t="s">
        <v>2470</v>
      </c>
      <c r="G60" t="s">
        <v>87</v>
      </c>
    </row>
    <row r="61" spans="1:7" x14ac:dyDescent="0.3">
      <c r="A61" t="s">
        <v>623</v>
      </c>
      <c r="B61">
        <v>7694</v>
      </c>
      <c r="F61" t="s">
        <v>2424</v>
      </c>
      <c r="G61" t="s">
        <v>6</v>
      </c>
    </row>
    <row r="62" spans="1:7" x14ac:dyDescent="0.3">
      <c r="A62" t="s">
        <v>1398</v>
      </c>
      <c r="B62">
        <v>7267</v>
      </c>
      <c r="F62" t="s">
        <v>2457</v>
      </c>
      <c r="G62" t="s">
        <v>159</v>
      </c>
    </row>
    <row r="63" spans="1:7" x14ac:dyDescent="0.3">
      <c r="A63" t="s">
        <v>244</v>
      </c>
      <c r="B63">
        <v>7001</v>
      </c>
      <c r="F63" t="s">
        <v>2488</v>
      </c>
      <c r="G63" t="s">
        <v>200</v>
      </c>
    </row>
    <row r="64" spans="1:7" x14ac:dyDescent="0.3">
      <c r="A64" t="s">
        <v>416</v>
      </c>
      <c r="B64">
        <v>6946</v>
      </c>
      <c r="F64" t="s">
        <v>2476</v>
      </c>
      <c r="G64" t="s">
        <v>141</v>
      </c>
    </row>
    <row r="65" spans="1:8" x14ac:dyDescent="0.3">
      <c r="A65" t="s">
        <v>284</v>
      </c>
      <c r="B65">
        <v>6743</v>
      </c>
      <c r="F65" t="s">
        <v>2238</v>
      </c>
      <c r="G65" t="s">
        <v>227</v>
      </c>
    </row>
    <row r="66" spans="1:8" x14ac:dyDescent="0.3">
      <c r="A66" t="s">
        <v>1364</v>
      </c>
      <c r="B66">
        <v>6659</v>
      </c>
      <c r="F66" t="s">
        <v>1159</v>
      </c>
      <c r="G66" t="s">
        <v>50</v>
      </c>
    </row>
    <row r="67" spans="1:8" x14ac:dyDescent="0.3">
      <c r="A67" t="s">
        <v>1522</v>
      </c>
      <c r="B67">
        <v>6566</v>
      </c>
      <c r="F67" t="s">
        <v>2485</v>
      </c>
      <c r="G67" t="s">
        <v>216</v>
      </c>
    </row>
    <row r="68" spans="1:8" x14ac:dyDescent="0.3">
      <c r="A68" t="s">
        <v>515</v>
      </c>
      <c r="B68">
        <v>6441</v>
      </c>
      <c r="F68" t="s">
        <v>2464</v>
      </c>
      <c r="G68" t="s">
        <v>2502</v>
      </c>
      <c r="H68" t="s">
        <v>2503</v>
      </c>
    </row>
    <row r="69" spans="1:8" x14ac:dyDescent="0.3">
      <c r="A69" t="s">
        <v>1828</v>
      </c>
      <c r="B69">
        <v>6356</v>
      </c>
      <c r="F69" t="s">
        <v>2452</v>
      </c>
      <c r="G69" t="s">
        <v>72</v>
      </c>
    </row>
    <row r="70" spans="1:8" x14ac:dyDescent="0.3">
      <c r="A70" t="s">
        <v>1153</v>
      </c>
      <c r="B70">
        <v>6323</v>
      </c>
      <c r="F70" t="s">
        <v>2458</v>
      </c>
      <c r="G70" t="s">
        <v>227</v>
      </c>
    </row>
    <row r="71" spans="1:8" x14ac:dyDescent="0.3">
      <c r="A71" t="s">
        <v>1962</v>
      </c>
      <c r="B71">
        <v>6313</v>
      </c>
      <c r="F71" t="s">
        <v>2469</v>
      </c>
      <c r="G71" t="s">
        <v>99</v>
      </c>
    </row>
    <row r="72" spans="1:8" x14ac:dyDescent="0.3">
      <c r="A72" t="s">
        <v>898</v>
      </c>
      <c r="B72">
        <v>6246</v>
      </c>
      <c r="F72" t="s">
        <v>2489</v>
      </c>
      <c r="G72" t="s">
        <v>88</v>
      </c>
    </row>
    <row r="73" spans="1:8" x14ac:dyDescent="0.3">
      <c r="A73" t="s">
        <v>1949</v>
      </c>
      <c r="B73">
        <v>6188</v>
      </c>
      <c r="F73" t="s">
        <v>2468</v>
      </c>
      <c r="G73" t="s">
        <v>227</v>
      </c>
    </row>
    <row r="74" spans="1:8" x14ac:dyDescent="0.3">
      <c r="A74" t="s">
        <v>1721</v>
      </c>
      <c r="B74">
        <v>5868</v>
      </c>
      <c r="F74" t="s">
        <v>2461</v>
      </c>
      <c r="G74" t="s">
        <v>6</v>
      </c>
    </row>
    <row r="75" spans="1:8" x14ac:dyDescent="0.3">
      <c r="A75" t="s">
        <v>1591</v>
      </c>
      <c r="B75">
        <v>5782</v>
      </c>
      <c r="F75" t="s">
        <v>2477</v>
      </c>
      <c r="G75" t="s">
        <v>42</v>
      </c>
    </row>
    <row r="76" spans="1:8" x14ac:dyDescent="0.3">
      <c r="A76" t="s">
        <v>1206</v>
      </c>
      <c r="B76">
        <v>5557</v>
      </c>
      <c r="F76" t="s">
        <v>2445</v>
      </c>
      <c r="G76" t="s">
        <v>6</v>
      </c>
    </row>
    <row r="77" spans="1:8" x14ac:dyDescent="0.3">
      <c r="A77" t="s">
        <v>1598</v>
      </c>
      <c r="B77">
        <v>5347</v>
      </c>
      <c r="F77" t="s">
        <v>2439</v>
      </c>
      <c r="G77" t="s">
        <v>6</v>
      </c>
    </row>
    <row r="78" spans="1:8" x14ac:dyDescent="0.3">
      <c r="A78" t="s">
        <v>1733</v>
      </c>
      <c r="B78">
        <v>5250</v>
      </c>
      <c r="F78" t="s">
        <v>2459</v>
      </c>
      <c r="G78" t="s">
        <v>23</v>
      </c>
    </row>
    <row r="79" spans="1:8" x14ac:dyDescent="0.3">
      <c r="A79" t="s">
        <v>1674</v>
      </c>
      <c r="B79">
        <v>5023</v>
      </c>
      <c r="F79" t="s">
        <v>1408</v>
      </c>
      <c r="G79" t="s">
        <v>174</v>
      </c>
    </row>
    <row r="80" spans="1:8" x14ac:dyDescent="0.3">
      <c r="A80" t="s">
        <v>1053</v>
      </c>
      <c r="B80">
        <v>4710</v>
      </c>
      <c r="F80" t="s">
        <v>2484</v>
      </c>
      <c r="G80" t="s">
        <v>227</v>
      </c>
    </row>
    <row r="81" spans="1:7" x14ac:dyDescent="0.3">
      <c r="A81" t="s">
        <v>290</v>
      </c>
      <c r="B81">
        <v>4687</v>
      </c>
      <c r="F81" t="s">
        <v>2456</v>
      </c>
      <c r="G81" t="s">
        <v>91</v>
      </c>
    </row>
    <row r="82" spans="1:7" x14ac:dyDescent="0.3">
      <c r="A82" t="s">
        <v>958</v>
      </c>
      <c r="B82">
        <v>4511</v>
      </c>
      <c r="F82" t="s">
        <v>2258</v>
      </c>
      <c r="G82" t="s">
        <v>23</v>
      </c>
    </row>
    <row r="83" spans="1:7" x14ac:dyDescent="0.3">
      <c r="A83" t="s">
        <v>94</v>
      </c>
      <c r="B83">
        <v>4475</v>
      </c>
    </row>
    <row r="84" spans="1:7" x14ac:dyDescent="0.3">
      <c r="A84" t="s">
        <v>1683</v>
      </c>
      <c r="B84">
        <v>4334</v>
      </c>
    </row>
    <row r="85" spans="1:7" x14ac:dyDescent="0.3">
      <c r="A85" t="s">
        <v>1806</v>
      </c>
      <c r="B85">
        <v>4277</v>
      </c>
    </row>
    <row r="86" spans="1:7" x14ac:dyDescent="0.3">
      <c r="A86" t="s">
        <v>794</v>
      </c>
      <c r="B86">
        <v>4273</v>
      </c>
    </row>
    <row r="87" spans="1:7" x14ac:dyDescent="0.3">
      <c r="A87" t="s">
        <v>971</v>
      </c>
      <c r="B87">
        <v>4092</v>
      </c>
    </row>
    <row r="88" spans="1:7" x14ac:dyDescent="0.3">
      <c r="A88" t="s">
        <v>1407</v>
      </c>
      <c r="B88">
        <v>4065</v>
      </c>
    </row>
    <row r="89" spans="1:7" x14ac:dyDescent="0.3">
      <c r="A89" t="s">
        <v>359</v>
      </c>
      <c r="B89">
        <v>3992</v>
      </c>
    </row>
    <row r="90" spans="1:7" x14ac:dyDescent="0.3">
      <c r="A90" t="s">
        <v>1940</v>
      </c>
      <c r="B90">
        <v>3945</v>
      </c>
    </row>
    <row r="91" spans="1:7" x14ac:dyDescent="0.3">
      <c r="A91" t="s">
        <v>162</v>
      </c>
      <c r="B91">
        <v>3826</v>
      </c>
    </row>
    <row r="92" spans="1:7" x14ac:dyDescent="0.3">
      <c r="A92" t="s">
        <v>574</v>
      </c>
      <c r="B92">
        <v>3785</v>
      </c>
    </row>
    <row r="93" spans="1:7" x14ac:dyDescent="0.3">
      <c r="A93" t="s">
        <v>71</v>
      </c>
      <c r="B93">
        <v>3777</v>
      </c>
    </row>
    <row r="94" spans="1:7" x14ac:dyDescent="0.3">
      <c r="A94" t="s">
        <v>1677</v>
      </c>
      <c r="B94">
        <v>3725</v>
      </c>
    </row>
    <row r="95" spans="1:7" x14ac:dyDescent="0.3">
      <c r="A95" t="s">
        <v>1234</v>
      </c>
      <c r="B95">
        <v>3724</v>
      </c>
    </row>
    <row r="96" spans="1:7" x14ac:dyDescent="0.3">
      <c r="A96" t="s">
        <v>1910</v>
      </c>
      <c r="B96">
        <v>3685</v>
      </c>
    </row>
    <row r="97" spans="1:2" x14ac:dyDescent="0.3">
      <c r="A97" t="s">
        <v>590</v>
      </c>
      <c r="B97">
        <v>3620</v>
      </c>
    </row>
    <row r="98" spans="1:2" x14ac:dyDescent="0.3">
      <c r="A98" t="s">
        <v>1448</v>
      </c>
      <c r="B98">
        <v>3485</v>
      </c>
    </row>
    <row r="99" spans="1:2" x14ac:dyDescent="0.3">
      <c r="A99" t="s">
        <v>1869</v>
      </c>
      <c r="B99">
        <v>3406</v>
      </c>
    </row>
    <row r="100" spans="1:2" x14ac:dyDescent="0.3">
      <c r="A100" t="s">
        <v>1043</v>
      </c>
      <c r="B100">
        <v>3256</v>
      </c>
    </row>
    <row r="101" spans="1:2" x14ac:dyDescent="0.3">
      <c r="A101" t="s">
        <v>5</v>
      </c>
      <c r="B101">
        <v>3238</v>
      </c>
    </row>
    <row r="102" spans="1:2" x14ac:dyDescent="0.3">
      <c r="A102" t="s">
        <v>968</v>
      </c>
      <c r="B102">
        <v>3138</v>
      </c>
    </row>
    <row r="103" spans="1:2" x14ac:dyDescent="0.3">
      <c r="A103" t="s">
        <v>1472</v>
      </c>
      <c r="B103">
        <v>3081</v>
      </c>
    </row>
    <row r="104" spans="1:2" x14ac:dyDescent="0.3">
      <c r="A104" t="s">
        <v>867</v>
      </c>
      <c r="B104">
        <v>3050</v>
      </c>
    </row>
    <row r="105" spans="1:2" x14ac:dyDescent="0.3">
      <c r="A105" t="s">
        <v>230</v>
      </c>
      <c r="B105">
        <v>3050</v>
      </c>
    </row>
    <row r="106" spans="1:2" x14ac:dyDescent="0.3">
      <c r="A106" t="s">
        <v>1730</v>
      </c>
      <c r="B106">
        <v>2949</v>
      </c>
    </row>
    <row r="107" spans="1:2" x14ac:dyDescent="0.3">
      <c r="A107" t="s">
        <v>1217</v>
      </c>
      <c r="B107">
        <v>2938</v>
      </c>
    </row>
    <row r="108" spans="1:2" x14ac:dyDescent="0.3">
      <c r="A108" t="s">
        <v>1953</v>
      </c>
      <c r="B108">
        <v>2880</v>
      </c>
    </row>
    <row r="109" spans="1:2" x14ac:dyDescent="0.3">
      <c r="A109" t="s">
        <v>776</v>
      </c>
      <c r="B109">
        <v>2857</v>
      </c>
    </row>
    <row r="110" spans="1:2" x14ac:dyDescent="0.3">
      <c r="A110" t="s">
        <v>1915</v>
      </c>
      <c r="B110">
        <v>2849</v>
      </c>
    </row>
    <row r="111" spans="1:2" x14ac:dyDescent="0.3">
      <c r="A111" t="s">
        <v>1025</v>
      </c>
      <c r="B111">
        <v>2836</v>
      </c>
    </row>
    <row r="112" spans="1:2" x14ac:dyDescent="0.3">
      <c r="A112" t="s">
        <v>544</v>
      </c>
      <c r="B112">
        <v>2832</v>
      </c>
    </row>
    <row r="113" spans="1:2" x14ac:dyDescent="0.3">
      <c r="A113" t="s">
        <v>1872</v>
      </c>
      <c r="B113">
        <v>2819</v>
      </c>
    </row>
    <row r="114" spans="1:2" x14ac:dyDescent="0.3">
      <c r="A114" t="s">
        <v>1489</v>
      </c>
      <c r="B114">
        <v>2785</v>
      </c>
    </row>
    <row r="115" spans="1:2" x14ac:dyDescent="0.3">
      <c r="A115" t="s">
        <v>1367</v>
      </c>
      <c r="B115">
        <v>2750</v>
      </c>
    </row>
    <row r="116" spans="1:2" x14ac:dyDescent="0.3">
      <c r="A116" t="s">
        <v>329</v>
      </c>
      <c r="B116">
        <v>2688</v>
      </c>
    </row>
    <row r="117" spans="1:2" x14ac:dyDescent="0.3">
      <c r="A117" t="s">
        <v>393</v>
      </c>
      <c r="B117">
        <v>2610</v>
      </c>
    </row>
    <row r="118" spans="1:2" x14ac:dyDescent="0.3">
      <c r="A118" t="s">
        <v>259</v>
      </c>
      <c r="B118">
        <v>2560</v>
      </c>
    </row>
    <row r="119" spans="1:2" x14ac:dyDescent="0.3">
      <c r="A119" t="s">
        <v>1857</v>
      </c>
      <c r="B119">
        <v>2559</v>
      </c>
    </row>
    <row r="120" spans="1:2" x14ac:dyDescent="0.3">
      <c r="A120" t="s">
        <v>557</v>
      </c>
      <c r="B120">
        <v>2520</v>
      </c>
    </row>
    <row r="121" spans="1:2" x14ac:dyDescent="0.3">
      <c r="A121" t="s">
        <v>105</v>
      </c>
      <c r="B121">
        <v>2510</v>
      </c>
    </row>
    <row r="122" spans="1:2" x14ac:dyDescent="0.3">
      <c r="A122" t="s">
        <v>132</v>
      </c>
      <c r="B122">
        <v>2466</v>
      </c>
    </row>
    <row r="123" spans="1:2" x14ac:dyDescent="0.3">
      <c r="A123" t="s">
        <v>1793</v>
      </c>
      <c r="B123">
        <v>2441</v>
      </c>
    </row>
    <row r="124" spans="1:2" x14ac:dyDescent="0.3">
      <c r="A124" t="s">
        <v>922</v>
      </c>
      <c r="B124">
        <v>2367</v>
      </c>
    </row>
    <row r="125" spans="1:2" x14ac:dyDescent="0.3">
      <c r="A125" t="s">
        <v>1113</v>
      </c>
      <c r="B125">
        <v>2285</v>
      </c>
    </row>
    <row r="126" spans="1:2" x14ac:dyDescent="0.3">
      <c r="A126" t="s">
        <v>1255</v>
      </c>
      <c r="B126">
        <v>2191</v>
      </c>
    </row>
    <row r="127" spans="1:2" x14ac:dyDescent="0.3">
      <c r="A127" t="s">
        <v>455</v>
      </c>
      <c r="B127">
        <v>2175</v>
      </c>
    </row>
    <row r="128" spans="1:2" x14ac:dyDescent="0.3">
      <c r="A128" t="s">
        <v>617</v>
      </c>
      <c r="B128">
        <v>2159</v>
      </c>
    </row>
    <row r="129" spans="1:2" x14ac:dyDescent="0.3">
      <c r="A129" t="s">
        <v>1209</v>
      </c>
      <c r="B129">
        <v>2137</v>
      </c>
    </row>
    <row r="130" spans="1:2" x14ac:dyDescent="0.3">
      <c r="A130" t="s">
        <v>1223</v>
      </c>
      <c r="B130">
        <v>2137</v>
      </c>
    </row>
    <row r="131" spans="1:2" x14ac:dyDescent="0.3">
      <c r="A131" t="s">
        <v>1625</v>
      </c>
      <c r="B131">
        <v>2132</v>
      </c>
    </row>
    <row r="132" spans="1:2" x14ac:dyDescent="0.3">
      <c r="A132" t="s">
        <v>306</v>
      </c>
      <c r="B132">
        <v>2112</v>
      </c>
    </row>
    <row r="133" spans="1:2" x14ac:dyDescent="0.3">
      <c r="A133" t="s">
        <v>553</v>
      </c>
      <c r="B133">
        <v>2087</v>
      </c>
    </row>
    <row r="134" spans="1:2" x14ac:dyDescent="0.3">
      <c r="A134" t="s">
        <v>674</v>
      </c>
      <c r="B134">
        <v>2078</v>
      </c>
    </row>
    <row r="135" spans="1:2" x14ac:dyDescent="0.3">
      <c r="A135" t="s">
        <v>803</v>
      </c>
      <c r="B135">
        <v>2053</v>
      </c>
    </row>
    <row r="136" spans="1:2" x14ac:dyDescent="0.3">
      <c r="A136" t="s">
        <v>534</v>
      </c>
      <c r="B136">
        <v>2040</v>
      </c>
    </row>
    <row r="137" spans="1:2" x14ac:dyDescent="0.3">
      <c r="A137" t="s">
        <v>1659</v>
      </c>
      <c r="B137">
        <v>2029</v>
      </c>
    </row>
    <row r="138" spans="1:2" x14ac:dyDescent="0.3">
      <c r="A138" t="s">
        <v>719</v>
      </c>
      <c r="B138">
        <v>2023</v>
      </c>
    </row>
    <row r="139" spans="1:2" x14ac:dyDescent="0.3">
      <c r="A139" t="s">
        <v>1958</v>
      </c>
      <c r="B139">
        <v>2018</v>
      </c>
    </row>
    <row r="140" spans="1:2" x14ac:dyDescent="0.3">
      <c r="A140" t="s">
        <v>1404</v>
      </c>
      <c r="B140">
        <v>2007</v>
      </c>
    </row>
    <row r="141" spans="1:2" x14ac:dyDescent="0.3">
      <c r="A141" t="s">
        <v>635</v>
      </c>
      <c r="B141">
        <v>1998</v>
      </c>
    </row>
    <row r="142" spans="1:2" x14ac:dyDescent="0.3">
      <c r="A142" t="s">
        <v>353</v>
      </c>
      <c r="B142">
        <v>1954</v>
      </c>
    </row>
    <row r="143" spans="1:2" x14ac:dyDescent="0.3">
      <c r="A143" t="s">
        <v>1155</v>
      </c>
      <c r="B143">
        <v>1914</v>
      </c>
    </row>
    <row r="144" spans="1:2" x14ac:dyDescent="0.3">
      <c r="A144" t="s">
        <v>527</v>
      </c>
      <c r="B144">
        <v>1911</v>
      </c>
    </row>
    <row r="145" spans="1:2" x14ac:dyDescent="0.3">
      <c r="A145" t="s">
        <v>1782</v>
      </c>
      <c r="B145">
        <v>1863</v>
      </c>
    </row>
    <row r="146" spans="1:2" x14ac:dyDescent="0.3">
      <c r="A146" t="s">
        <v>659</v>
      </c>
      <c r="B146">
        <v>1845</v>
      </c>
    </row>
    <row r="147" spans="1:2" x14ac:dyDescent="0.3">
      <c r="A147" t="s">
        <v>1212</v>
      </c>
      <c r="B147">
        <v>1812</v>
      </c>
    </row>
    <row r="148" spans="1:2" x14ac:dyDescent="0.3">
      <c r="A148" t="s">
        <v>1237</v>
      </c>
      <c r="B148">
        <v>1786</v>
      </c>
    </row>
    <row r="149" spans="1:2" x14ac:dyDescent="0.3">
      <c r="A149" t="s">
        <v>1269</v>
      </c>
      <c r="B149">
        <v>1770</v>
      </c>
    </row>
    <row r="150" spans="1:2" x14ac:dyDescent="0.3">
      <c r="A150" t="s">
        <v>1498</v>
      </c>
      <c r="B150">
        <v>1659</v>
      </c>
    </row>
    <row r="151" spans="1:2" x14ac:dyDescent="0.3">
      <c r="A151" t="s">
        <v>1563</v>
      </c>
      <c r="B151">
        <v>1657</v>
      </c>
    </row>
    <row r="152" spans="1:2" x14ac:dyDescent="0.3">
      <c r="A152" t="s">
        <v>578</v>
      </c>
      <c r="B152">
        <v>1653</v>
      </c>
    </row>
    <row r="153" spans="1:2" x14ac:dyDescent="0.3">
      <c r="A153" t="s">
        <v>1507</v>
      </c>
      <c r="B153">
        <v>1625</v>
      </c>
    </row>
    <row r="154" spans="1:2" x14ac:dyDescent="0.3">
      <c r="A154" t="s">
        <v>1825</v>
      </c>
      <c r="B154">
        <v>1607</v>
      </c>
    </row>
    <row r="155" spans="1:2" x14ac:dyDescent="0.3">
      <c r="A155" t="s">
        <v>1308</v>
      </c>
      <c r="B155">
        <v>1535</v>
      </c>
    </row>
    <row r="156" spans="1:2" x14ac:dyDescent="0.3">
      <c r="A156" t="s">
        <v>649</v>
      </c>
      <c r="B156">
        <v>1533</v>
      </c>
    </row>
    <row r="157" spans="1:2" x14ac:dyDescent="0.3">
      <c r="A157" t="s">
        <v>1459</v>
      </c>
      <c r="B157">
        <v>1512</v>
      </c>
    </row>
    <row r="158" spans="1:2" x14ac:dyDescent="0.3">
      <c r="A158" t="s">
        <v>1671</v>
      </c>
      <c r="B158">
        <v>1479</v>
      </c>
    </row>
    <row r="159" spans="1:2" x14ac:dyDescent="0.3">
      <c r="A159" t="s">
        <v>1328</v>
      </c>
      <c r="B159">
        <v>1474</v>
      </c>
    </row>
    <row r="160" spans="1:2" x14ac:dyDescent="0.3">
      <c r="A160" t="s">
        <v>1834</v>
      </c>
      <c r="B160">
        <v>1469</v>
      </c>
    </row>
    <row r="161" spans="1:2" x14ac:dyDescent="0.3">
      <c r="A161" t="s">
        <v>1165</v>
      </c>
      <c r="B161">
        <v>1459</v>
      </c>
    </row>
    <row r="162" spans="1:2" x14ac:dyDescent="0.3">
      <c r="A162" t="s">
        <v>779</v>
      </c>
      <c r="B162">
        <v>1451</v>
      </c>
    </row>
    <row r="163" spans="1:2" x14ac:dyDescent="0.3">
      <c r="A163" t="s">
        <v>938</v>
      </c>
      <c r="B163">
        <v>1432</v>
      </c>
    </row>
    <row r="164" spans="1:2" x14ac:dyDescent="0.3">
      <c r="A164" t="s">
        <v>155</v>
      </c>
      <c r="B164">
        <v>1384</v>
      </c>
    </row>
    <row r="165" spans="1:2" x14ac:dyDescent="0.3">
      <c r="A165" t="s">
        <v>438</v>
      </c>
      <c r="B165">
        <v>1359</v>
      </c>
    </row>
    <row r="166" spans="1:2" x14ac:dyDescent="0.3">
      <c r="A166" t="s">
        <v>1579</v>
      </c>
      <c r="B166">
        <v>1358</v>
      </c>
    </row>
    <row r="167" spans="1:2" x14ac:dyDescent="0.3">
      <c r="A167" t="s">
        <v>972</v>
      </c>
      <c r="B167">
        <v>1352</v>
      </c>
    </row>
    <row r="168" spans="1:2" x14ac:dyDescent="0.3">
      <c r="A168" t="s">
        <v>293</v>
      </c>
      <c r="B168">
        <v>1337</v>
      </c>
    </row>
    <row r="169" spans="1:2" x14ac:dyDescent="0.3">
      <c r="A169" t="s">
        <v>1263</v>
      </c>
      <c r="B169">
        <v>1312</v>
      </c>
    </row>
    <row r="170" spans="1:2" x14ac:dyDescent="0.3">
      <c r="A170" t="s">
        <v>965</v>
      </c>
      <c r="B170">
        <v>1284</v>
      </c>
    </row>
    <row r="171" spans="1:2" x14ac:dyDescent="0.3">
      <c r="A171" t="s">
        <v>1876</v>
      </c>
      <c r="B171">
        <v>1273</v>
      </c>
    </row>
    <row r="172" spans="1:2" x14ac:dyDescent="0.3">
      <c r="A172" t="s">
        <v>1319</v>
      </c>
      <c r="B172">
        <v>1253</v>
      </c>
    </row>
    <row r="173" spans="1:2" x14ac:dyDescent="0.3">
      <c r="A173" t="s">
        <v>1966</v>
      </c>
      <c r="B173">
        <v>1249</v>
      </c>
    </row>
    <row r="174" spans="1:2" x14ac:dyDescent="0.3">
      <c r="A174" t="s">
        <v>1631</v>
      </c>
      <c r="B174">
        <v>1227</v>
      </c>
    </row>
    <row r="175" spans="1:2" x14ac:dyDescent="0.3">
      <c r="A175" t="s">
        <v>1344</v>
      </c>
      <c r="B175">
        <v>1224</v>
      </c>
    </row>
    <row r="176" spans="1:2" x14ac:dyDescent="0.3">
      <c r="A176" t="s">
        <v>387</v>
      </c>
      <c r="B176">
        <v>1222</v>
      </c>
    </row>
    <row r="177" spans="1:2" x14ac:dyDescent="0.3">
      <c r="A177" t="s">
        <v>840</v>
      </c>
      <c r="B177">
        <v>1218</v>
      </c>
    </row>
    <row r="178" spans="1:2" x14ac:dyDescent="0.3">
      <c r="A178" t="s">
        <v>325</v>
      </c>
      <c r="B178">
        <v>1191</v>
      </c>
    </row>
    <row r="179" spans="1:2" x14ac:dyDescent="0.3">
      <c r="A179" t="s">
        <v>497</v>
      </c>
      <c r="B179">
        <v>1180</v>
      </c>
    </row>
    <row r="180" spans="1:2" x14ac:dyDescent="0.3">
      <c r="A180" t="s">
        <v>834</v>
      </c>
      <c r="B180">
        <v>1166</v>
      </c>
    </row>
    <row r="181" spans="1:2" x14ac:dyDescent="0.3">
      <c r="A181" t="s">
        <v>716</v>
      </c>
      <c r="B181">
        <v>1159</v>
      </c>
    </row>
    <row r="182" spans="1:2" x14ac:dyDescent="0.3">
      <c r="A182" t="s">
        <v>1515</v>
      </c>
      <c r="B182">
        <v>1119</v>
      </c>
    </row>
    <row r="183" spans="1:2" x14ac:dyDescent="0.3">
      <c r="A183" t="s">
        <v>819</v>
      </c>
      <c r="B183">
        <v>1109</v>
      </c>
    </row>
    <row r="184" spans="1:2" x14ac:dyDescent="0.3">
      <c r="A184" t="s">
        <v>1110</v>
      </c>
      <c r="B184">
        <v>1079</v>
      </c>
    </row>
    <row r="185" spans="1:2" x14ac:dyDescent="0.3">
      <c r="A185" t="s">
        <v>1056</v>
      </c>
      <c r="B185">
        <v>1079</v>
      </c>
    </row>
    <row r="186" spans="1:2" x14ac:dyDescent="0.3">
      <c r="A186" t="s">
        <v>1220</v>
      </c>
      <c r="B186">
        <v>1075</v>
      </c>
    </row>
    <row r="187" spans="1:2" x14ac:dyDescent="0.3">
      <c r="A187" t="s">
        <v>1955</v>
      </c>
      <c r="B187">
        <v>1073</v>
      </c>
    </row>
    <row r="188" spans="1:2" x14ac:dyDescent="0.3">
      <c r="A188" t="s">
        <v>1933</v>
      </c>
      <c r="B188">
        <v>1045</v>
      </c>
    </row>
    <row r="189" spans="1:2" x14ac:dyDescent="0.3">
      <c r="A189" t="s">
        <v>1203</v>
      </c>
      <c r="B189">
        <v>1043</v>
      </c>
    </row>
    <row r="190" spans="1:2" x14ac:dyDescent="0.3">
      <c r="A190" t="s">
        <v>1341</v>
      </c>
      <c r="B190">
        <v>1024</v>
      </c>
    </row>
    <row r="191" spans="1:2" x14ac:dyDescent="0.3">
      <c r="A191" t="s">
        <v>253</v>
      </c>
      <c r="B191">
        <v>979</v>
      </c>
    </row>
    <row r="192" spans="1:2" x14ac:dyDescent="0.3">
      <c r="A192" t="s">
        <v>1334</v>
      </c>
      <c r="B192">
        <v>961</v>
      </c>
    </row>
    <row r="193" spans="1:2" x14ac:dyDescent="0.3">
      <c r="A193" t="s">
        <v>1411</v>
      </c>
      <c r="B193">
        <v>952</v>
      </c>
    </row>
    <row r="194" spans="1:2" x14ac:dyDescent="0.3">
      <c r="A194" t="s">
        <v>1012</v>
      </c>
      <c r="B194">
        <v>950</v>
      </c>
    </row>
    <row r="195" spans="1:2" x14ac:dyDescent="0.3">
      <c r="A195" t="s">
        <v>1078</v>
      </c>
      <c r="B195">
        <v>944</v>
      </c>
    </row>
    <row r="196" spans="1:2" x14ac:dyDescent="0.3">
      <c r="A196" t="s">
        <v>1069</v>
      </c>
      <c r="B196">
        <v>933</v>
      </c>
    </row>
    <row r="197" spans="1:2" x14ac:dyDescent="0.3">
      <c r="A197" t="s">
        <v>745</v>
      </c>
      <c r="B197">
        <v>930</v>
      </c>
    </row>
    <row r="198" spans="1:2" x14ac:dyDescent="0.3">
      <c r="A198" t="s">
        <v>949</v>
      </c>
      <c r="B198">
        <v>919</v>
      </c>
    </row>
    <row r="199" spans="1:2" x14ac:dyDescent="0.3">
      <c r="A199" t="s">
        <v>1272</v>
      </c>
      <c r="B199">
        <v>919</v>
      </c>
    </row>
    <row r="200" spans="1:2" x14ac:dyDescent="0.3">
      <c r="A200" t="s">
        <v>919</v>
      </c>
      <c r="B200">
        <v>890</v>
      </c>
    </row>
    <row r="201" spans="1:2" x14ac:dyDescent="0.3">
      <c r="A201" t="s">
        <v>1414</v>
      </c>
      <c r="B201">
        <v>889</v>
      </c>
    </row>
    <row r="202" spans="1:2" x14ac:dyDescent="0.3">
      <c r="A202" t="s">
        <v>1184</v>
      </c>
      <c r="B202">
        <v>868</v>
      </c>
    </row>
    <row r="203" spans="1:2" x14ac:dyDescent="0.3">
      <c r="A203" t="s">
        <v>90</v>
      </c>
      <c r="B203">
        <v>857</v>
      </c>
    </row>
    <row r="204" spans="1:2" x14ac:dyDescent="0.3">
      <c r="A204" t="s">
        <v>1062</v>
      </c>
      <c r="B204">
        <v>855</v>
      </c>
    </row>
    <row r="205" spans="1:2" x14ac:dyDescent="0.3">
      <c r="A205" t="s">
        <v>1181</v>
      </c>
      <c r="B205">
        <v>851</v>
      </c>
    </row>
    <row r="206" spans="1:2" x14ac:dyDescent="0.3">
      <c r="A206" t="s">
        <v>723</v>
      </c>
      <c r="B206">
        <v>841</v>
      </c>
    </row>
    <row r="207" spans="1:2" x14ac:dyDescent="0.3">
      <c r="A207" t="s">
        <v>1790</v>
      </c>
      <c r="B207">
        <v>785</v>
      </c>
    </row>
    <row r="208" spans="1:2" x14ac:dyDescent="0.3">
      <c r="A208" t="s">
        <v>1713</v>
      </c>
      <c r="B208">
        <v>775</v>
      </c>
    </row>
    <row r="209" spans="1:2" x14ac:dyDescent="0.3">
      <c r="A209" t="s">
        <v>910</v>
      </c>
      <c r="B209">
        <v>759</v>
      </c>
    </row>
    <row r="210" spans="1:2" x14ac:dyDescent="0.3">
      <c r="A210" t="s">
        <v>144</v>
      </c>
      <c r="B210">
        <v>751</v>
      </c>
    </row>
    <row r="211" spans="1:2" x14ac:dyDescent="0.3">
      <c r="A211" t="s">
        <v>540</v>
      </c>
      <c r="B211">
        <v>748</v>
      </c>
    </row>
    <row r="212" spans="1:2" x14ac:dyDescent="0.3">
      <c r="A212" t="s">
        <v>350</v>
      </c>
      <c r="B212">
        <v>722</v>
      </c>
    </row>
    <row r="213" spans="1:2" x14ac:dyDescent="0.3">
      <c r="A213" t="s">
        <v>825</v>
      </c>
      <c r="B213">
        <v>701</v>
      </c>
    </row>
    <row r="214" spans="1:2" x14ac:dyDescent="0.3">
      <c r="A214" t="s">
        <v>1611</v>
      </c>
      <c r="B214">
        <v>685</v>
      </c>
    </row>
    <row r="215" spans="1:2" x14ac:dyDescent="0.3">
      <c r="A215" t="s">
        <v>712</v>
      </c>
      <c r="B215">
        <v>683</v>
      </c>
    </row>
    <row r="216" spans="1:2" x14ac:dyDescent="0.3">
      <c r="A216" t="s">
        <v>1432</v>
      </c>
      <c r="B216">
        <v>677</v>
      </c>
    </row>
    <row r="217" spans="1:2" x14ac:dyDescent="0.3">
      <c r="A217" t="s">
        <v>1754</v>
      </c>
      <c r="B217">
        <v>662</v>
      </c>
    </row>
    <row r="218" spans="1:2" x14ac:dyDescent="0.3">
      <c r="A218" t="s">
        <v>955</v>
      </c>
      <c r="B218">
        <v>653</v>
      </c>
    </row>
    <row r="219" spans="1:2" x14ac:dyDescent="0.3">
      <c r="A219" t="s">
        <v>629</v>
      </c>
      <c r="B219">
        <v>650</v>
      </c>
    </row>
    <row r="220" spans="1:2" x14ac:dyDescent="0.3">
      <c r="A220" t="s">
        <v>1311</v>
      </c>
      <c r="B220">
        <v>631</v>
      </c>
    </row>
    <row r="221" spans="1:2" x14ac:dyDescent="0.3">
      <c r="A221" t="s">
        <v>1275</v>
      </c>
      <c r="B221">
        <v>631</v>
      </c>
    </row>
    <row r="222" spans="1:2" x14ac:dyDescent="0.3">
      <c r="A222" t="s">
        <v>488</v>
      </c>
      <c r="B222">
        <v>611</v>
      </c>
    </row>
    <row r="223" spans="1:2" x14ac:dyDescent="0.3">
      <c r="A223" t="s">
        <v>54</v>
      </c>
      <c r="B223">
        <v>608</v>
      </c>
    </row>
    <row r="224" spans="1:2" x14ac:dyDescent="0.3">
      <c r="A224" t="s">
        <v>1097</v>
      </c>
      <c r="B224">
        <v>593</v>
      </c>
    </row>
    <row r="225" spans="1:2" x14ac:dyDescent="0.3">
      <c r="A225" t="s">
        <v>211</v>
      </c>
      <c r="B225">
        <v>591</v>
      </c>
    </row>
    <row r="226" spans="1:2" x14ac:dyDescent="0.3">
      <c r="A226" t="s">
        <v>1297</v>
      </c>
      <c r="B226">
        <v>589</v>
      </c>
    </row>
    <row r="227" spans="1:2" x14ac:dyDescent="0.3">
      <c r="A227" t="s">
        <v>1226</v>
      </c>
      <c r="B227">
        <v>587</v>
      </c>
    </row>
    <row r="228" spans="1:2" x14ac:dyDescent="0.3">
      <c r="A228" t="s">
        <v>1901</v>
      </c>
      <c r="B228">
        <v>586</v>
      </c>
    </row>
    <row r="229" spans="1:2" x14ac:dyDescent="0.3">
      <c r="A229" t="s">
        <v>1093</v>
      </c>
      <c r="B229">
        <v>583</v>
      </c>
    </row>
    <row r="230" spans="1:2" x14ac:dyDescent="0.3">
      <c r="A230" t="s">
        <v>247</v>
      </c>
      <c r="B230">
        <v>578</v>
      </c>
    </row>
    <row r="231" spans="1:2" x14ac:dyDescent="0.3">
      <c r="A231" t="s">
        <v>1040</v>
      </c>
      <c r="B231">
        <v>574</v>
      </c>
    </row>
    <row r="232" spans="1:2" x14ac:dyDescent="0.3">
      <c r="A232" t="s">
        <v>1391</v>
      </c>
      <c r="B232">
        <v>570</v>
      </c>
    </row>
    <row r="233" spans="1:2" x14ac:dyDescent="0.3">
      <c r="A233" t="s">
        <v>22</v>
      </c>
      <c r="B233">
        <v>565</v>
      </c>
    </row>
    <row r="234" spans="1:2" x14ac:dyDescent="0.3">
      <c r="A234" t="s">
        <v>1680</v>
      </c>
      <c r="B234">
        <v>563</v>
      </c>
    </row>
    <row r="235" spans="1:2" x14ac:dyDescent="0.3">
      <c r="A235" t="s">
        <v>680</v>
      </c>
      <c r="B235">
        <v>562</v>
      </c>
    </row>
    <row r="236" spans="1:2" x14ac:dyDescent="0.3">
      <c r="A236" t="s">
        <v>1104</v>
      </c>
      <c r="B236">
        <v>559</v>
      </c>
    </row>
    <row r="237" spans="1:2" x14ac:dyDescent="0.3">
      <c r="A237" t="s">
        <v>986</v>
      </c>
      <c r="B237">
        <v>553</v>
      </c>
    </row>
    <row r="238" spans="1:2" x14ac:dyDescent="0.3">
      <c r="A238" t="s">
        <v>1719</v>
      </c>
      <c r="B238">
        <v>552</v>
      </c>
    </row>
    <row r="239" spans="1:2" x14ac:dyDescent="0.3">
      <c r="A239" t="s">
        <v>1566</v>
      </c>
      <c r="B239">
        <v>552</v>
      </c>
    </row>
    <row r="240" spans="1:2" x14ac:dyDescent="0.3">
      <c r="A240" t="s">
        <v>396</v>
      </c>
      <c r="B240">
        <v>547</v>
      </c>
    </row>
    <row r="241" spans="1:2" x14ac:dyDescent="0.3">
      <c r="A241" t="s">
        <v>1582</v>
      </c>
      <c r="B241">
        <v>544</v>
      </c>
    </row>
    <row r="242" spans="1:2" x14ac:dyDescent="0.3">
      <c r="A242" t="s">
        <v>322</v>
      </c>
      <c r="B242">
        <v>529</v>
      </c>
    </row>
    <row r="243" spans="1:2" x14ac:dyDescent="0.3">
      <c r="A243" t="s">
        <v>512</v>
      </c>
      <c r="B243">
        <v>527</v>
      </c>
    </row>
    <row r="244" spans="1:2" x14ac:dyDescent="0.3">
      <c r="A244" t="s">
        <v>1059</v>
      </c>
      <c r="B244">
        <v>523</v>
      </c>
    </row>
    <row r="245" spans="1:2" x14ac:dyDescent="0.3">
      <c r="A245" t="s">
        <v>372</v>
      </c>
      <c r="B245">
        <v>519</v>
      </c>
    </row>
    <row r="246" spans="1:2" x14ac:dyDescent="0.3">
      <c r="A246" t="s">
        <v>1172</v>
      </c>
      <c r="B246">
        <v>519</v>
      </c>
    </row>
    <row r="247" spans="1:2" x14ac:dyDescent="0.3">
      <c r="A247" t="s">
        <v>677</v>
      </c>
      <c r="B247">
        <v>499</v>
      </c>
    </row>
    <row r="248" spans="1:2" x14ac:dyDescent="0.3">
      <c r="A248" t="s">
        <v>67</v>
      </c>
      <c r="B248">
        <v>498</v>
      </c>
    </row>
    <row r="249" spans="1:2" x14ac:dyDescent="0.3">
      <c r="A249" t="s">
        <v>907</v>
      </c>
      <c r="B249">
        <v>492</v>
      </c>
    </row>
    <row r="250" spans="1:2" x14ac:dyDescent="0.3">
      <c r="A250" t="s">
        <v>274</v>
      </c>
      <c r="B250">
        <v>474</v>
      </c>
    </row>
    <row r="251" spans="1:2" x14ac:dyDescent="0.3">
      <c r="A251" t="s">
        <v>491</v>
      </c>
      <c r="B251">
        <v>469</v>
      </c>
    </row>
    <row r="252" spans="1:2" x14ac:dyDescent="0.3">
      <c r="A252" t="s">
        <v>822</v>
      </c>
      <c r="B252">
        <v>468</v>
      </c>
    </row>
    <row r="253" spans="1:2" x14ac:dyDescent="0.3">
      <c r="A253" t="s">
        <v>219</v>
      </c>
      <c r="B253">
        <v>466</v>
      </c>
    </row>
    <row r="254" spans="1:2" x14ac:dyDescent="0.3">
      <c r="A254" t="s">
        <v>1608</v>
      </c>
      <c r="B254">
        <v>465</v>
      </c>
    </row>
    <row r="255" spans="1:2" x14ac:dyDescent="0.3">
      <c r="A255" t="s">
        <v>932</v>
      </c>
      <c r="B255">
        <v>465</v>
      </c>
    </row>
    <row r="256" spans="1:2" x14ac:dyDescent="0.3">
      <c r="A256" t="s">
        <v>1879</v>
      </c>
      <c r="B256">
        <v>458</v>
      </c>
    </row>
    <row r="257" spans="1:2" x14ac:dyDescent="0.3">
      <c r="A257" t="s">
        <v>1121</v>
      </c>
      <c r="B257">
        <v>454</v>
      </c>
    </row>
    <row r="258" spans="1:2" x14ac:dyDescent="0.3">
      <c r="A258" t="s">
        <v>1974</v>
      </c>
      <c r="B258">
        <v>451</v>
      </c>
    </row>
    <row r="259" spans="1:2" x14ac:dyDescent="0.3">
      <c r="A259" t="s">
        <v>1959</v>
      </c>
      <c r="B259">
        <v>446</v>
      </c>
    </row>
    <row r="260" spans="1:2" x14ac:dyDescent="0.3">
      <c r="A260" t="s">
        <v>1257</v>
      </c>
      <c r="B260">
        <v>445</v>
      </c>
    </row>
    <row r="261" spans="1:2" x14ac:dyDescent="0.3">
      <c r="A261" t="s">
        <v>432</v>
      </c>
      <c r="B261">
        <v>441</v>
      </c>
    </row>
    <row r="262" spans="1:2" x14ac:dyDescent="0.3">
      <c r="A262" t="s">
        <v>1557</v>
      </c>
      <c r="B262">
        <v>441</v>
      </c>
    </row>
    <row r="263" spans="1:2" x14ac:dyDescent="0.3">
      <c r="A263" t="s">
        <v>2013</v>
      </c>
      <c r="B263">
        <v>436</v>
      </c>
    </row>
    <row r="264" spans="1:2" x14ac:dyDescent="0.3">
      <c r="A264" t="s">
        <v>1727</v>
      </c>
      <c r="B264">
        <v>434</v>
      </c>
    </row>
    <row r="265" spans="1:2" x14ac:dyDescent="0.3">
      <c r="A265" t="s">
        <v>1022</v>
      </c>
      <c r="B265">
        <v>429</v>
      </c>
    </row>
    <row r="266" spans="1:2" x14ac:dyDescent="0.3">
      <c r="A266" t="s">
        <v>1539</v>
      </c>
      <c r="B266">
        <v>426</v>
      </c>
    </row>
    <row r="267" spans="1:2" x14ac:dyDescent="0.3">
      <c r="A267" t="s">
        <v>1021</v>
      </c>
      <c r="B267">
        <v>401</v>
      </c>
    </row>
    <row r="268" spans="1:2" x14ac:dyDescent="0.3">
      <c r="A268" t="s">
        <v>37</v>
      </c>
      <c r="B268">
        <v>397</v>
      </c>
    </row>
    <row r="269" spans="1:2" x14ac:dyDescent="0.3">
      <c r="A269" t="s">
        <v>562</v>
      </c>
      <c r="B269">
        <v>395</v>
      </c>
    </row>
    <row r="270" spans="1:2" x14ac:dyDescent="0.3">
      <c r="A270" t="s">
        <v>1162</v>
      </c>
      <c r="B270">
        <v>394</v>
      </c>
    </row>
    <row r="271" spans="1:2" x14ac:dyDescent="0.3">
      <c r="A271" t="s">
        <v>831</v>
      </c>
      <c r="B271">
        <v>390</v>
      </c>
    </row>
    <row r="272" spans="1:2" x14ac:dyDescent="0.3">
      <c r="A272" t="s">
        <v>828</v>
      </c>
      <c r="B272">
        <v>388</v>
      </c>
    </row>
    <row r="273" spans="1:2" x14ac:dyDescent="0.3">
      <c r="A273" t="s">
        <v>404</v>
      </c>
      <c r="B273">
        <v>388</v>
      </c>
    </row>
    <row r="274" spans="1:2" x14ac:dyDescent="0.3">
      <c r="A274" t="s">
        <v>34</v>
      </c>
      <c r="B274">
        <v>381</v>
      </c>
    </row>
    <row r="275" spans="1:2" x14ac:dyDescent="0.3">
      <c r="A275" t="s">
        <v>1323</v>
      </c>
      <c r="B275">
        <v>370</v>
      </c>
    </row>
    <row r="276" spans="1:2" x14ac:dyDescent="0.3">
      <c r="A276" t="s">
        <v>1895</v>
      </c>
      <c r="B276">
        <v>368</v>
      </c>
    </row>
    <row r="277" spans="1:2" x14ac:dyDescent="0.3">
      <c r="A277" t="s">
        <v>287</v>
      </c>
      <c r="B277">
        <v>363</v>
      </c>
    </row>
    <row r="278" spans="1:2" x14ac:dyDescent="0.3">
      <c r="A278" t="s">
        <v>203</v>
      </c>
      <c r="B278">
        <v>362</v>
      </c>
    </row>
    <row r="279" spans="1:2" x14ac:dyDescent="0.3">
      <c r="A279" t="s">
        <v>265</v>
      </c>
      <c r="B279">
        <v>357</v>
      </c>
    </row>
    <row r="280" spans="1:2" x14ac:dyDescent="0.3">
      <c r="A280" t="s">
        <v>1924</v>
      </c>
      <c r="B280">
        <v>354</v>
      </c>
    </row>
    <row r="281" spans="1:2" x14ac:dyDescent="0.3">
      <c r="A281" t="s">
        <v>640</v>
      </c>
      <c r="B281">
        <v>354</v>
      </c>
    </row>
    <row r="282" spans="1:2" x14ac:dyDescent="0.3">
      <c r="A282" t="s">
        <v>1518</v>
      </c>
      <c r="B282">
        <v>352</v>
      </c>
    </row>
    <row r="283" spans="1:2" x14ac:dyDescent="0.3">
      <c r="A283" t="s">
        <v>850</v>
      </c>
      <c r="B283">
        <v>352</v>
      </c>
    </row>
    <row r="284" spans="1:2" x14ac:dyDescent="0.3">
      <c r="A284" t="s">
        <v>1954</v>
      </c>
      <c r="B284">
        <v>348</v>
      </c>
    </row>
    <row r="285" spans="1:2" x14ac:dyDescent="0.3">
      <c r="A285" t="s">
        <v>1898</v>
      </c>
      <c r="B285">
        <v>345</v>
      </c>
    </row>
    <row r="286" spans="1:2" x14ac:dyDescent="0.3">
      <c r="A286" t="s">
        <v>2014</v>
      </c>
      <c r="B286">
        <v>343</v>
      </c>
    </row>
    <row r="287" spans="1:2" x14ac:dyDescent="0.3">
      <c r="A287" t="s">
        <v>1944</v>
      </c>
      <c r="B287">
        <v>340</v>
      </c>
    </row>
    <row r="288" spans="1:2" x14ac:dyDescent="0.3">
      <c r="A288" t="s">
        <v>596</v>
      </c>
      <c r="B288">
        <v>339</v>
      </c>
    </row>
    <row r="289" spans="1:2" x14ac:dyDescent="0.3">
      <c r="A289" t="s">
        <v>124</v>
      </c>
      <c r="B289">
        <v>339</v>
      </c>
    </row>
    <row r="290" spans="1:2" x14ac:dyDescent="0.3">
      <c r="A290" t="s">
        <v>1175</v>
      </c>
      <c r="B290">
        <v>335</v>
      </c>
    </row>
    <row r="291" spans="1:2" x14ac:dyDescent="0.3">
      <c r="A291" t="s">
        <v>445</v>
      </c>
      <c r="B291">
        <v>335</v>
      </c>
    </row>
    <row r="292" spans="1:2" x14ac:dyDescent="0.3">
      <c r="A292" t="s">
        <v>891</v>
      </c>
      <c r="B292">
        <v>335</v>
      </c>
    </row>
    <row r="293" spans="1:2" x14ac:dyDescent="0.3">
      <c r="A293" t="s">
        <v>1595</v>
      </c>
      <c r="B293">
        <v>334</v>
      </c>
    </row>
    <row r="294" spans="1:2" x14ac:dyDescent="0.3">
      <c r="A294" t="s">
        <v>978</v>
      </c>
      <c r="B294">
        <v>332</v>
      </c>
    </row>
    <row r="295" spans="1:2" x14ac:dyDescent="0.3">
      <c r="A295" t="s">
        <v>384</v>
      </c>
      <c r="B295">
        <v>326</v>
      </c>
    </row>
    <row r="296" spans="1:2" x14ac:dyDescent="0.3">
      <c r="A296" t="s">
        <v>1382</v>
      </c>
      <c r="B296">
        <v>326</v>
      </c>
    </row>
    <row r="297" spans="1:2" x14ac:dyDescent="0.3">
      <c r="A297" t="s">
        <v>1937</v>
      </c>
      <c r="B297">
        <v>322</v>
      </c>
    </row>
    <row r="298" spans="1:2" x14ac:dyDescent="0.3">
      <c r="A298" t="s">
        <v>901</v>
      </c>
      <c r="B298">
        <v>319</v>
      </c>
    </row>
    <row r="299" spans="1:2" x14ac:dyDescent="0.3">
      <c r="A299" t="s">
        <v>381</v>
      </c>
      <c r="B299">
        <v>314</v>
      </c>
    </row>
    <row r="300" spans="1:2" x14ac:dyDescent="0.3">
      <c r="A300" t="s">
        <v>662</v>
      </c>
      <c r="B300">
        <v>310</v>
      </c>
    </row>
    <row r="301" spans="1:2" x14ac:dyDescent="0.3">
      <c r="A301" t="s">
        <v>441</v>
      </c>
      <c r="B301">
        <v>308</v>
      </c>
    </row>
    <row r="302" spans="1:2" x14ac:dyDescent="0.3">
      <c r="A302" t="s">
        <v>2015</v>
      </c>
      <c r="B302">
        <v>297</v>
      </c>
    </row>
    <row r="303" spans="1:2" x14ac:dyDescent="0.3">
      <c r="A303" t="s">
        <v>1243</v>
      </c>
      <c r="B303">
        <v>296</v>
      </c>
    </row>
    <row r="304" spans="1:2" x14ac:dyDescent="0.3">
      <c r="A304" t="s">
        <v>177</v>
      </c>
      <c r="B304">
        <v>292</v>
      </c>
    </row>
    <row r="305" spans="1:2" x14ac:dyDescent="0.3">
      <c r="A305" t="s">
        <v>706</v>
      </c>
      <c r="B305">
        <v>289</v>
      </c>
    </row>
    <row r="306" spans="1:2" x14ac:dyDescent="0.3">
      <c r="A306" t="s">
        <v>375</v>
      </c>
      <c r="B306">
        <v>289</v>
      </c>
    </row>
    <row r="307" spans="1:2" x14ac:dyDescent="0.3">
      <c r="A307" t="s">
        <v>2016</v>
      </c>
      <c r="B307">
        <v>287</v>
      </c>
    </row>
    <row r="308" spans="1:2" x14ac:dyDescent="0.3">
      <c r="A308" t="s">
        <v>729</v>
      </c>
      <c r="B308">
        <v>284</v>
      </c>
    </row>
    <row r="309" spans="1:2" x14ac:dyDescent="0.3">
      <c r="A309" t="s">
        <v>1358</v>
      </c>
      <c r="B309">
        <v>276</v>
      </c>
    </row>
    <row r="310" spans="1:2" x14ac:dyDescent="0.3">
      <c r="A310" t="s">
        <v>895</v>
      </c>
      <c r="B310">
        <v>269</v>
      </c>
    </row>
    <row r="311" spans="1:2" x14ac:dyDescent="0.3">
      <c r="A311" t="s">
        <v>1151</v>
      </c>
      <c r="B311">
        <v>269</v>
      </c>
    </row>
    <row r="312" spans="1:2" x14ac:dyDescent="0.3">
      <c r="A312" t="s">
        <v>638</v>
      </c>
      <c r="B312">
        <v>266</v>
      </c>
    </row>
    <row r="313" spans="1:2" x14ac:dyDescent="0.3">
      <c r="A313" t="s">
        <v>1388</v>
      </c>
      <c r="B313">
        <v>260</v>
      </c>
    </row>
    <row r="314" spans="1:2" x14ac:dyDescent="0.3">
      <c r="A314" t="s">
        <v>1475</v>
      </c>
      <c r="B314">
        <v>258</v>
      </c>
    </row>
    <row r="315" spans="1:2" x14ac:dyDescent="0.3">
      <c r="A315" t="s">
        <v>749</v>
      </c>
      <c r="B315">
        <v>254</v>
      </c>
    </row>
    <row r="316" spans="1:2" x14ac:dyDescent="0.3">
      <c r="A316" t="s">
        <v>1133</v>
      </c>
      <c r="B316">
        <v>253</v>
      </c>
    </row>
    <row r="317" spans="1:2" x14ac:dyDescent="0.3">
      <c r="A317" t="s">
        <v>812</v>
      </c>
      <c r="B317">
        <v>252</v>
      </c>
    </row>
    <row r="318" spans="1:2" x14ac:dyDescent="0.3">
      <c r="A318" t="s">
        <v>668</v>
      </c>
      <c r="B318">
        <v>252</v>
      </c>
    </row>
    <row r="319" spans="1:2" x14ac:dyDescent="0.3">
      <c r="A319" t="s">
        <v>882</v>
      </c>
      <c r="B319">
        <v>252</v>
      </c>
    </row>
    <row r="320" spans="1:2" x14ac:dyDescent="0.3">
      <c r="A320" t="s">
        <v>1087</v>
      </c>
      <c r="B320">
        <v>249</v>
      </c>
    </row>
    <row r="321" spans="1:2" x14ac:dyDescent="0.3">
      <c r="A321" t="s">
        <v>335</v>
      </c>
      <c r="B321">
        <v>238</v>
      </c>
    </row>
    <row r="322" spans="1:2" x14ac:dyDescent="0.3">
      <c r="A322" t="s">
        <v>1158</v>
      </c>
      <c r="B322">
        <v>238</v>
      </c>
    </row>
    <row r="323" spans="1:2" x14ac:dyDescent="0.3">
      <c r="A323" t="s">
        <v>1509</v>
      </c>
      <c r="B323">
        <v>233</v>
      </c>
    </row>
    <row r="324" spans="1:2" x14ac:dyDescent="0.3">
      <c r="A324" t="s">
        <v>1951</v>
      </c>
      <c r="B324">
        <v>231</v>
      </c>
    </row>
    <row r="325" spans="1:2" x14ac:dyDescent="0.3">
      <c r="A325" t="s">
        <v>1751</v>
      </c>
      <c r="B325">
        <v>231</v>
      </c>
    </row>
    <row r="326" spans="1:2" x14ac:dyDescent="0.3">
      <c r="A326" t="s">
        <v>732</v>
      </c>
      <c r="B326">
        <v>226</v>
      </c>
    </row>
    <row r="327" spans="1:2" x14ac:dyDescent="0.3">
      <c r="A327" t="s">
        <v>1816</v>
      </c>
      <c r="B327">
        <v>225</v>
      </c>
    </row>
    <row r="328" spans="1:2" x14ac:dyDescent="0.3">
      <c r="A328" t="s">
        <v>1766</v>
      </c>
      <c r="B328">
        <v>225</v>
      </c>
    </row>
    <row r="329" spans="1:2" x14ac:dyDescent="0.3">
      <c r="A329" t="s">
        <v>158</v>
      </c>
      <c r="B329">
        <v>223</v>
      </c>
    </row>
    <row r="330" spans="1:2" x14ac:dyDescent="0.3">
      <c r="A330" t="s">
        <v>665</v>
      </c>
      <c r="B330">
        <v>223</v>
      </c>
    </row>
    <row r="331" spans="1:2" x14ac:dyDescent="0.3">
      <c r="A331" t="s">
        <v>262</v>
      </c>
      <c r="B331">
        <v>219</v>
      </c>
    </row>
    <row r="332" spans="1:2" x14ac:dyDescent="0.3">
      <c r="A332" t="s">
        <v>703</v>
      </c>
      <c r="B332">
        <v>214</v>
      </c>
    </row>
    <row r="333" spans="1:2" x14ac:dyDescent="0.3">
      <c r="A333" t="s">
        <v>1361</v>
      </c>
      <c r="B333">
        <v>211</v>
      </c>
    </row>
    <row r="334" spans="1:2" x14ac:dyDescent="0.3">
      <c r="A334" t="s">
        <v>1284</v>
      </c>
      <c r="B334">
        <v>207</v>
      </c>
    </row>
    <row r="335" spans="1:2" x14ac:dyDescent="0.3">
      <c r="A335" t="s">
        <v>1420</v>
      </c>
      <c r="B335">
        <v>204</v>
      </c>
    </row>
    <row r="336" spans="1:2" x14ac:dyDescent="0.3">
      <c r="A336" t="s">
        <v>944</v>
      </c>
      <c r="B336">
        <v>204</v>
      </c>
    </row>
    <row r="337" spans="1:2" x14ac:dyDescent="0.3">
      <c r="A337" t="s">
        <v>1972</v>
      </c>
      <c r="B337">
        <v>203</v>
      </c>
    </row>
    <row r="338" spans="1:2" x14ac:dyDescent="0.3">
      <c r="A338" t="s">
        <v>1942</v>
      </c>
      <c r="B338">
        <v>202</v>
      </c>
    </row>
    <row r="339" spans="1:2" x14ac:dyDescent="0.3">
      <c r="A339" t="s">
        <v>2017</v>
      </c>
      <c r="B339">
        <v>199</v>
      </c>
    </row>
    <row r="340" spans="1:2" x14ac:dyDescent="0.3">
      <c r="A340" t="s">
        <v>2018</v>
      </c>
      <c r="B340">
        <v>198</v>
      </c>
    </row>
    <row r="341" spans="1:2" x14ac:dyDescent="0.3">
      <c r="A341" t="s">
        <v>2019</v>
      </c>
      <c r="B341">
        <v>192</v>
      </c>
    </row>
    <row r="342" spans="1:2" x14ac:dyDescent="0.3">
      <c r="A342" t="s">
        <v>137</v>
      </c>
      <c r="B342">
        <v>191</v>
      </c>
    </row>
    <row r="343" spans="1:2" x14ac:dyDescent="0.3">
      <c r="A343" t="s">
        <v>237</v>
      </c>
      <c r="B343">
        <v>189</v>
      </c>
    </row>
    <row r="344" spans="1:2" x14ac:dyDescent="0.3">
      <c r="A344" t="s">
        <v>1130</v>
      </c>
      <c r="B344">
        <v>186</v>
      </c>
    </row>
    <row r="345" spans="1:2" x14ac:dyDescent="0.3">
      <c r="A345" t="s">
        <v>873</v>
      </c>
      <c r="B345">
        <v>184</v>
      </c>
    </row>
    <row r="346" spans="1:2" x14ac:dyDescent="0.3">
      <c r="A346" t="s">
        <v>111</v>
      </c>
      <c r="B346">
        <v>183</v>
      </c>
    </row>
    <row r="347" spans="1:2" x14ac:dyDescent="0.3">
      <c r="A347" t="s">
        <v>1462</v>
      </c>
      <c r="B347">
        <v>182</v>
      </c>
    </row>
    <row r="348" spans="1:2" x14ac:dyDescent="0.3">
      <c r="A348" t="s">
        <v>1551</v>
      </c>
      <c r="B348">
        <v>182</v>
      </c>
    </row>
    <row r="349" spans="1:2" x14ac:dyDescent="0.3">
      <c r="A349" t="s">
        <v>879</v>
      </c>
      <c r="B349">
        <v>181</v>
      </c>
    </row>
    <row r="350" spans="1:2" x14ac:dyDescent="0.3">
      <c r="A350" t="s">
        <v>1889</v>
      </c>
      <c r="B350">
        <v>178</v>
      </c>
    </row>
    <row r="351" spans="1:2" x14ac:dyDescent="0.3">
      <c r="A351" t="s">
        <v>1445</v>
      </c>
      <c r="B351">
        <v>178</v>
      </c>
    </row>
    <row r="352" spans="1:2" x14ac:dyDescent="0.3">
      <c r="A352" t="s">
        <v>1536</v>
      </c>
      <c r="B352">
        <v>173</v>
      </c>
    </row>
    <row r="353" spans="1:2" x14ac:dyDescent="0.3">
      <c r="A353" t="s">
        <v>1465</v>
      </c>
      <c r="B353">
        <v>173</v>
      </c>
    </row>
    <row r="354" spans="1:2" x14ac:dyDescent="0.3">
      <c r="A354" t="s">
        <v>1745</v>
      </c>
      <c r="B354">
        <v>172</v>
      </c>
    </row>
    <row r="355" spans="1:2" x14ac:dyDescent="0.3">
      <c r="A355" t="s">
        <v>250</v>
      </c>
      <c r="B355">
        <v>171</v>
      </c>
    </row>
    <row r="356" spans="1:2" x14ac:dyDescent="0.3">
      <c r="A356" t="s">
        <v>1116</v>
      </c>
      <c r="B356">
        <v>169</v>
      </c>
    </row>
    <row r="357" spans="1:2" x14ac:dyDescent="0.3">
      <c r="A357" t="s">
        <v>344</v>
      </c>
      <c r="B357">
        <v>167</v>
      </c>
    </row>
    <row r="358" spans="1:2" x14ac:dyDescent="0.3">
      <c r="A358" t="s">
        <v>1015</v>
      </c>
      <c r="B358">
        <v>165</v>
      </c>
    </row>
    <row r="359" spans="1:2" x14ac:dyDescent="0.3">
      <c r="A359" t="s">
        <v>1831</v>
      </c>
      <c r="B359">
        <v>165</v>
      </c>
    </row>
    <row r="360" spans="1:2" x14ac:dyDescent="0.3">
      <c r="A360" t="s">
        <v>26</v>
      </c>
      <c r="B360">
        <v>164</v>
      </c>
    </row>
    <row r="361" spans="1:2" x14ac:dyDescent="0.3">
      <c r="A361" t="s">
        <v>9</v>
      </c>
      <c r="B361">
        <v>163</v>
      </c>
    </row>
    <row r="362" spans="1:2" x14ac:dyDescent="0.3">
      <c r="A362" t="s">
        <v>1702</v>
      </c>
      <c r="B362">
        <v>161</v>
      </c>
    </row>
    <row r="363" spans="1:2" x14ac:dyDescent="0.3">
      <c r="A363" t="s">
        <v>1621</v>
      </c>
      <c r="B363">
        <v>158</v>
      </c>
    </row>
    <row r="364" spans="1:2" x14ac:dyDescent="0.3">
      <c r="A364" t="s">
        <v>764</v>
      </c>
      <c r="B364">
        <v>156</v>
      </c>
    </row>
    <row r="365" spans="1:2" x14ac:dyDescent="0.3">
      <c r="A365" t="s">
        <v>410</v>
      </c>
      <c r="B365">
        <v>151</v>
      </c>
    </row>
    <row r="366" spans="1:2" x14ac:dyDescent="0.3">
      <c r="A366" t="s">
        <v>1530</v>
      </c>
      <c r="B366">
        <v>149</v>
      </c>
    </row>
    <row r="367" spans="1:2" x14ac:dyDescent="0.3">
      <c r="A367" t="s">
        <v>1385</v>
      </c>
      <c r="B367">
        <v>145</v>
      </c>
    </row>
    <row r="368" spans="1:2" x14ac:dyDescent="0.3">
      <c r="A368" t="s">
        <v>1860</v>
      </c>
      <c r="B368">
        <v>143</v>
      </c>
    </row>
    <row r="369" spans="1:2" x14ac:dyDescent="0.3">
      <c r="A369" t="s">
        <v>1819</v>
      </c>
      <c r="B369">
        <v>143</v>
      </c>
    </row>
    <row r="370" spans="1:2" x14ac:dyDescent="0.3">
      <c r="A370" t="s">
        <v>913</v>
      </c>
      <c r="B370">
        <v>142</v>
      </c>
    </row>
    <row r="371" spans="1:2" x14ac:dyDescent="0.3">
      <c r="A371" t="s">
        <v>2020</v>
      </c>
      <c r="B371">
        <v>142</v>
      </c>
    </row>
    <row r="372" spans="1:2" x14ac:dyDescent="0.3">
      <c r="A372" t="s">
        <v>1775</v>
      </c>
      <c r="B372">
        <v>141</v>
      </c>
    </row>
    <row r="373" spans="1:2" x14ac:dyDescent="0.3">
      <c r="A373" t="s">
        <v>1528</v>
      </c>
      <c r="B373">
        <v>141</v>
      </c>
    </row>
    <row r="374" spans="1:2" x14ac:dyDescent="0.3">
      <c r="A374" t="s">
        <v>1136</v>
      </c>
      <c r="B374">
        <v>140</v>
      </c>
    </row>
    <row r="375" spans="1:2" x14ac:dyDescent="0.3">
      <c r="A375" t="s">
        <v>173</v>
      </c>
      <c r="B375">
        <v>137</v>
      </c>
    </row>
    <row r="376" spans="1:2" x14ac:dyDescent="0.3">
      <c r="A376" t="s">
        <v>626</v>
      </c>
      <c r="B376">
        <v>134</v>
      </c>
    </row>
    <row r="377" spans="1:2" x14ac:dyDescent="0.3">
      <c r="A377" t="s">
        <v>2021</v>
      </c>
      <c r="B377">
        <v>132</v>
      </c>
    </row>
    <row r="378" spans="1:2" x14ac:dyDescent="0.3">
      <c r="A378" t="s">
        <v>1634</v>
      </c>
      <c r="B378">
        <v>131</v>
      </c>
    </row>
    <row r="379" spans="1:2" x14ac:dyDescent="0.3">
      <c r="A379" t="s">
        <v>744</v>
      </c>
      <c r="B379">
        <v>131</v>
      </c>
    </row>
    <row r="380" spans="1:2" x14ac:dyDescent="0.3">
      <c r="A380" t="s">
        <v>1501</v>
      </c>
      <c r="B380">
        <v>130</v>
      </c>
    </row>
    <row r="381" spans="1:2" x14ac:dyDescent="0.3">
      <c r="A381" t="s">
        <v>1187</v>
      </c>
      <c r="B381">
        <v>127</v>
      </c>
    </row>
    <row r="382" spans="1:2" x14ac:dyDescent="0.3">
      <c r="A382" t="s">
        <v>632</v>
      </c>
      <c r="B382">
        <v>126</v>
      </c>
    </row>
    <row r="383" spans="1:2" x14ac:dyDescent="0.3">
      <c r="A383" t="s">
        <v>505</v>
      </c>
      <c r="B383">
        <v>124</v>
      </c>
    </row>
    <row r="384" spans="1:2" x14ac:dyDescent="0.3">
      <c r="A384" t="s">
        <v>107</v>
      </c>
      <c r="B384">
        <v>122</v>
      </c>
    </row>
    <row r="385" spans="1:2" x14ac:dyDescent="0.3">
      <c r="A385" t="s">
        <v>485</v>
      </c>
      <c r="B385">
        <v>122</v>
      </c>
    </row>
    <row r="386" spans="1:2" x14ac:dyDescent="0.3">
      <c r="A386" t="s">
        <v>653</v>
      </c>
      <c r="B386">
        <v>121</v>
      </c>
    </row>
    <row r="387" spans="1:2" x14ac:dyDescent="0.3">
      <c r="A387" t="s">
        <v>876</v>
      </c>
      <c r="B387">
        <v>120</v>
      </c>
    </row>
    <row r="388" spans="1:2" x14ac:dyDescent="0.3">
      <c r="A388" t="s">
        <v>1249</v>
      </c>
      <c r="B388">
        <v>115</v>
      </c>
    </row>
    <row r="389" spans="1:2" x14ac:dyDescent="0.3">
      <c r="A389" t="s">
        <v>1784</v>
      </c>
      <c r="B389">
        <v>115</v>
      </c>
    </row>
    <row r="390" spans="1:2" x14ac:dyDescent="0.3">
      <c r="A390" t="s">
        <v>1260</v>
      </c>
      <c r="B390">
        <v>113</v>
      </c>
    </row>
    <row r="391" spans="1:2" x14ac:dyDescent="0.3">
      <c r="A391" t="s">
        <v>1119</v>
      </c>
      <c r="B391">
        <v>111</v>
      </c>
    </row>
    <row r="392" spans="1:2" x14ac:dyDescent="0.3">
      <c r="A392" t="s">
        <v>347</v>
      </c>
      <c r="B392">
        <v>110</v>
      </c>
    </row>
    <row r="393" spans="1:2" x14ac:dyDescent="0.3">
      <c r="A393" t="s">
        <v>904</v>
      </c>
      <c r="B393">
        <v>109</v>
      </c>
    </row>
    <row r="394" spans="1:2" x14ac:dyDescent="0.3">
      <c r="A394" t="s">
        <v>1278</v>
      </c>
      <c r="B394">
        <v>108</v>
      </c>
    </row>
    <row r="395" spans="1:2" x14ac:dyDescent="0.3">
      <c r="A395" t="s">
        <v>1350</v>
      </c>
      <c r="B395">
        <v>107</v>
      </c>
    </row>
    <row r="396" spans="1:2" x14ac:dyDescent="0.3">
      <c r="A396" t="s">
        <v>1651</v>
      </c>
      <c r="B396">
        <v>107</v>
      </c>
    </row>
    <row r="397" spans="1:2" x14ac:dyDescent="0.3">
      <c r="A397" t="s">
        <v>1193</v>
      </c>
      <c r="B397">
        <v>107</v>
      </c>
    </row>
    <row r="398" spans="1:2" x14ac:dyDescent="0.3">
      <c r="A398" t="s">
        <v>1882</v>
      </c>
      <c r="B398">
        <v>106</v>
      </c>
    </row>
    <row r="399" spans="1:2" x14ac:dyDescent="0.3">
      <c r="A399" t="s">
        <v>608</v>
      </c>
      <c r="B399">
        <v>104</v>
      </c>
    </row>
    <row r="400" spans="1:2" x14ac:dyDescent="0.3">
      <c r="A400" t="s">
        <v>521</v>
      </c>
      <c r="B400">
        <v>104</v>
      </c>
    </row>
    <row r="401" spans="1:2" x14ac:dyDescent="0.3">
      <c r="A401" t="s">
        <v>148</v>
      </c>
      <c r="B401">
        <v>102</v>
      </c>
    </row>
    <row r="402" spans="1:2" x14ac:dyDescent="0.3">
      <c r="A402" t="s">
        <v>1000</v>
      </c>
      <c r="B402">
        <v>100</v>
      </c>
    </row>
    <row r="403" spans="1:2" x14ac:dyDescent="0.3">
      <c r="A403" t="s">
        <v>800</v>
      </c>
      <c r="B403">
        <v>99</v>
      </c>
    </row>
    <row r="404" spans="1:2" x14ac:dyDescent="0.3">
      <c r="A404" t="s">
        <v>870</v>
      </c>
      <c r="B404">
        <v>97</v>
      </c>
    </row>
    <row r="405" spans="1:2" x14ac:dyDescent="0.3">
      <c r="A405" t="s">
        <v>1930</v>
      </c>
      <c r="B405">
        <v>96</v>
      </c>
    </row>
    <row r="406" spans="1:2" x14ac:dyDescent="0.3">
      <c r="A406" t="s">
        <v>1542</v>
      </c>
      <c r="B406">
        <v>95</v>
      </c>
    </row>
    <row r="407" spans="1:2" x14ac:dyDescent="0.3">
      <c r="A407" t="s">
        <v>1508</v>
      </c>
      <c r="B407">
        <v>94</v>
      </c>
    </row>
    <row r="408" spans="1:2" x14ac:dyDescent="0.3">
      <c r="A408" t="s">
        <v>755</v>
      </c>
      <c r="B408">
        <v>92</v>
      </c>
    </row>
    <row r="409" spans="1:2" x14ac:dyDescent="0.3">
      <c r="A409" t="s">
        <v>1778</v>
      </c>
      <c r="B409">
        <v>90</v>
      </c>
    </row>
    <row r="410" spans="1:2" x14ac:dyDescent="0.3">
      <c r="A410" t="s">
        <v>1376</v>
      </c>
      <c r="B410">
        <v>88</v>
      </c>
    </row>
    <row r="411" spans="1:2" x14ac:dyDescent="0.3">
      <c r="A411" t="s">
        <v>1478</v>
      </c>
      <c r="B411">
        <v>86</v>
      </c>
    </row>
    <row r="412" spans="1:2" x14ac:dyDescent="0.3">
      <c r="A412" t="s">
        <v>1246</v>
      </c>
      <c r="B412">
        <v>85</v>
      </c>
    </row>
    <row r="413" spans="1:2" x14ac:dyDescent="0.3">
      <c r="A413" t="s">
        <v>356</v>
      </c>
      <c r="B413">
        <v>83</v>
      </c>
    </row>
    <row r="414" spans="1:2" x14ac:dyDescent="0.3">
      <c r="A414" t="s">
        <v>952</v>
      </c>
      <c r="B414">
        <v>80</v>
      </c>
    </row>
    <row r="415" spans="1:2" x14ac:dyDescent="0.3">
      <c r="A415" t="s">
        <v>1533</v>
      </c>
      <c r="B415">
        <v>76</v>
      </c>
    </row>
    <row r="416" spans="1:2" x14ac:dyDescent="0.3">
      <c r="A416" t="s">
        <v>1488</v>
      </c>
      <c r="B416">
        <v>76</v>
      </c>
    </row>
    <row r="417" spans="1:2" x14ac:dyDescent="0.3">
      <c r="A417" t="s">
        <v>1572</v>
      </c>
      <c r="B417">
        <v>75</v>
      </c>
    </row>
    <row r="418" spans="1:2" x14ac:dyDescent="0.3">
      <c r="A418" t="s">
        <v>773</v>
      </c>
      <c r="B418">
        <v>73</v>
      </c>
    </row>
    <row r="419" spans="1:2" x14ac:dyDescent="0.3">
      <c r="A419" t="s">
        <v>1072</v>
      </c>
      <c r="B419">
        <v>73</v>
      </c>
    </row>
    <row r="420" spans="1:2" x14ac:dyDescent="0.3">
      <c r="A420" t="s">
        <v>2022</v>
      </c>
      <c r="B420">
        <v>72</v>
      </c>
    </row>
    <row r="421" spans="1:2" x14ac:dyDescent="0.3">
      <c r="A421" t="s">
        <v>1325</v>
      </c>
      <c r="B421">
        <v>68</v>
      </c>
    </row>
    <row r="422" spans="1:2" x14ac:dyDescent="0.3">
      <c r="A422" t="s">
        <v>181</v>
      </c>
      <c r="B422">
        <v>68</v>
      </c>
    </row>
    <row r="423" spans="1:2" x14ac:dyDescent="0.3">
      <c r="A423" t="s">
        <v>46</v>
      </c>
      <c r="B423">
        <v>68</v>
      </c>
    </row>
    <row r="424" spans="1:2" x14ac:dyDescent="0.3">
      <c r="A424" t="s">
        <v>1757</v>
      </c>
      <c r="B424">
        <v>67</v>
      </c>
    </row>
    <row r="425" spans="1:2" x14ac:dyDescent="0.3">
      <c r="A425" t="s">
        <v>1822</v>
      </c>
      <c r="B425">
        <v>67</v>
      </c>
    </row>
    <row r="426" spans="1:2" x14ac:dyDescent="0.3">
      <c r="A426" t="s">
        <v>1548</v>
      </c>
      <c r="B426">
        <v>66</v>
      </c>
    </row>
    <row r="427" spans="1:2" x14ac:dyDescent="0.3">
      <c r="A427" t="s">
        <v>771</v>
      </c>
      <c r="B427">
        <v>64</v>
      </c>
    </row>
    <row r="428" spans="1:2" x14ac:dyDescent="0.3">
      <c r="A428" t="s">
        <v>1438</v>
      </c>
      <c r="B428">
        <v>64</v>
      </c>
    </row>
    <row r="429" spans="1:2" x14ac:dyDescent="0.3">
      <c r="A429" t="s">
        <v>1849</v>
      </c>
      <c r="B429">
        <v>64</v>
      </c>
    </row>
    <row r="430" spans="1:2" x14ac:dyDescent="0.3">
      <c r="A430" t="s">
        <v>1812</v>
      </c>
      <c r="B430">
        <v>63</v>
      </c>
    </row>
    <row r="431" spans="1:2" x14ac:dyDescent="0.3">
      <c r="A431" t="s">
        <v>1355</v>
      </c>
      <c r="B431">
        <v>62</v>
      </c>
    </row>
    <row r="432" spans="1:2" x14ac:dyDescent="0.3">
      <c r="A432" t="s">
        <v>1809</v>
      </c>
      <c r="B432">
        <v>61</v>
      </c>
    </row>
    <row r="433" spans="1:2" x14ac:dyDescent="0.3">
      <c r="A433" t="s">
        <v>620</v>
      </c>
      <c r="B433">
        <v>61</v>
      </c>
    </row>
    <row r="434" spans="1:2" x14ac:dyDescent="0.3">
      <c r="A434" t="s">
        <v>1763</v>
      </c>
      <c r="B434">
        <v>60</v>
      </c>
    </row>
    <row r="435" spans="1:2" x14ac:dyDescent="0.3">
      <c r="A435" t="s">
        <v>791</v>
      </c>
      <c r="B435">
        <v>59</v>
      </c>
    </row>
    <row r="436" spans="1:2" x14ac:dyDescent="0.3">
      <c r="A436" t="s">
        <v>13</v>
      </c>
      <c r="B436">
        <v>59</v>
      </c>
    </row>
    <row r="437" spans="1:2" x14ac:dyDescent="0.3">
      <c r="A437" t="s">
        <v>1904</v>
      </c>
      <c r="B437">
        <v>58</v>
      </c>
    </row>
    <row r="438" spans="1:2" x14ac:dyDescent="0.3">
      <c r="A438" t="s">
        <v>332</v>
      </c>
      <c r="B438">
        <v>57</v>
      </c>
    </row>
    <row r="439" spans="1:2" x14ac:dyDescent="0.3">
      <c r="A439" t="s">
        <v>571</v>
      </c>
      <c r="B439">
        <v>55</v>
      </c>
    </row>
    <row r="440" spans="1:2" x14ac:dyDescent="0.3">
      <c r="A440" t="s">
        <v>1605</v>
      </c>
      <c r="B440">
        <v>54</v>
      </c>
    </row>
    <row r="441" spans="1:2" x14ac:dyDescent="0.3">
      <c r="A441" t="s">
        <v>2023</v>
      </c>
      <c r="B441">
        <v>53</v>
      </c>
    </row>
    <row r="442" spans="1:2" x14ac:dyDescent="0.3">
      <c r="A442" t="s">
        <v>1787</v>
      </c>
      <c r="B442">
        <v>52</v>
      </c>
    </row>
    <row r="443" spans="1:2" x14ac:dyDescent="0.3">
      <c r="A443" t="s">
        <v>2024</v>
      </c>
      <c r="B443">
        <v>52</v>
      </c>
    </row>
    <row r="444" spans="1:2" x14ac:dyDescent="0.3">
      <c r="A444" t="s">
        <v>560</v>
      </c>
      <c r="B444">
        <v>51</v>
      </c>
    </row>
    <row r="445" spans="1:2" x14ac:dyDescent="0.3">
      <c r="A445" t="s">
        <v>1423</v>
      </c>
      <c r="B445">
        <v>50</v>
      </c>
    </row>
    <row r="446" spans="1:2" x14ac:dyDescent="0.3">
      <c r="A446" t="s">
        <v>2025</v>
      </c>
      <c r="B446">
        <v>46</v>
      </c>
    </row>
    <row r="447" spans="1:2" x14ac:dyDescent="0.3">
      <c r="A447" t="s">
        <v>935</v>
      </c>
      <c r="B447">
        <v>46</v>
      </c>
    </row>
    <row r="448" spans="1:2" x14ac:dyDescent="0.3">
      <c r="A448" t="s">
        <v>2026</v>
      </c>
      <c r="B448">
        <v>43</v>
      </c>
    </row>
    <row r="449" spans="1:2" x14ac:dyDescent="0.3">
      <c r="A449" t="s">
        <v>2027</v>
      </c>
      <c r="B449">
        <v>43</v>
      </c>
    </row>
    <row r="450" spans="1:2" x14ac:dyDescent="0.3">
      <c r="A450" t="s">
        <v>62</v>
      </c>
      <c r="B450">
        <v>42</v>
      </c>
    </row>
    <row r="451" spans="1:2" x14ac:dyDescent="0.3">
      <c r="A451" t="s">
        <v>1710</v>
      </c>
      <c r="B451">
        <v>38</v>
      </c>
    </row>
    <row r="452" spans="1:2" x14ac:dyDescent="0.3">
      <c r="A452" t="s">
        <v>426</v>
      </c>
      <c r="B452">
        <v>38</v>
      </c>
    </row>
    <row r="453" spans="1:2" x14ac:dyDescent="0.3">
      <c r="A453" t="s">
        <v>1006</v>
      </c>
      <c r="B453">
        <v>38</v>
      </c>
    </row>
    <row r="454" spans="1:2" x14ac:dyDescent="0.3">
      <c r="A454" t="s">
        <v>2028</v>
      </c>
      <c r="B454">
        <v>38</v>
      </c>
    </row>
    <row r="455" spans="1:2" x14ac:dyDescent="0.3">
      <c r="A455" t="s">
        <v>222</v>
      </c>
      <c r="B455">
        <v>38</v>
      </c>
    </row>
    <row r="456" spans="1:2" x14ac:dyDescent="0.3">
      <c r="A456" t="s">
        <v>782</v>
      </c>
      <c r="B456">
        <v>37</v>
      </c>
    </row>
    <row r="457" spans="1:2" x14ac:dyDescent="0.3">
      <c r="A457" t="s">
        <v>184</v>
      </c>
      <c r="B457">
        <v>37</v>
      </c>
    </row>
    <row r="458" spans="1:2" x14ac:dyDescent="0.3">
      <c r="A458" t="s">
        <v>2029</v>
      </c>
      <c r="B458">
        <v>37</v>
      </c>
    </row>
    <row r="459" spans="1:2" x14ac:dyDescent="0.3">
      <c r="A459" t="s">
        <v>151</v>
      </c>
      <c r="B459">
        <v>37</v>
      </c>
    </row>
    <row r="460" spans="1:2" x14ac:dyDescent="0.3">
      <c r="A460" t="s">
        <v>1455</v>
      </c>
      <c r="B460">
        <v>36</v>
      </c>
    </row>
    <row r="461" spans="1:2" x14ac:dyDescent="0.3">
      <c r="A461" t="s">
        <v>844</v>
      </c>
      <c r="B461">
        <v>36</v>
      </c>
    </row>
    <row r="462" spans="1:2" x14ac:dyDescent="0.3">
      <c r="A462" t="s">
        <v>1525</v>
      </c>
      <c r="B462">
        <v>34</v>
      </c>
    </row>
    <row r="463" spans="1:2" x14ac:dyDescent="0.3">
      <c r="A463" t="s">
        <v>1698</v>
      </c>
      <c r="B463">
        <v>34</v>
      </c>
    </row>
    <row r="464" spans="1:2" x14ac:dyDescent="0.3">
      <c r="A464" t="s">
        <v>309</v>
      </c>
      <c r="B464">
        <v>33</v>
      </c>
    </row>
    <row r="465" spans="1:2" x14ac:dyDescent="0.3">
      <c r="A465" t="s">
        <v>312</v>
      </c>
      <c r="B465">
        <v>32</v>
      </c>
    </row>
    <row r="466" spans="1:2" x14ac:dyDescent="0.3">
      <c r="A466" t="s">
        <v>407</v>
      </c>
      <c r="B466">
        <v>31</v>
      </c>
    </row>
    <row r="467" spans="1:2" x14ac:dyDescent="0.3">
      <c r="A467" t="s">
        <v>614</v>
      </c>
      <c r="B467">
        <v>31</v>
      </c>
    </row>
    <row r="468" spans="1:2" x14ac:dyDescent="0.3">
      <c r="A468" t="s">
        <v>2030</v>
      </c>
      <c r="B468">
        <v>31</v>
      </c>
    </row>
    <row r="469" spans="1:2" x14ac:dyDescent="0.3">
      <c r="A469" t="s">
        <v>86</v>
      </c>
      <c r="B469">
        <v>30</v>
      </c>
    </row>
    <row r="470" spans="1:2" x14ac:dyDescent="0.3">
      <c r="A470" t="s">
        <v>1707</v>
      </c>
      <c r="B470">
        <v>30</v>
      </c>
    </row>
    <row r="471" spans="1:2" x14ac:dyDescent="0.3">
      <c r="A471" t="s">
        <v>1840</v>
      </c>
      <c r="B471">
        <v>29</v>
      </c>
    </row>
    <row r="472" spans="1:2" x14ac:dyDescent="0.3">
      <c r="A472" t="s">
        <v>1379</v>
      </c>
      <c r="B472">
        <v>28</v>
      </c>
    </row>
    <row r="473" spans="1:2" x14ac:dyDescent="0.3">
      <c r="A473" t="s">
        <v>115</v>
      </c>
      <c r="B473">
        <v>28</v>
      </c>
    </row>
    <row r="474" spans="1:2" x14ac:dyDescent="0.3">
      <c r="A474" t="s">
        <v>2031</v>
      </c>
      <c r="B474">
        <v>28</v>
      </c>
    </row>
    <row r="475" spans="1:2" x14ac:dyDescent="0.3">
      <c r="A475" t="s">
        <v>2032</v>
      </c>
      <c r="B475">
        <v>26</v>
      </c>
    </row>
    <row r="476" spans="1:2" x14ac:dyDescent="0.3">
      <c r="A476" t="s">
        <v>942</v>
      </c>
      <c r="B476">
        <v>26</v>
      </c>
    </row>
    <row r="477" spans="1:2" x14ac:dyDescent="0.3">
      <c r="A477" t="s">
        <v>700</v>
      </c>
      <c r="B477">
        <v>25</v>
      </c>
    </row>
    <row r="478" spans="1:2" x14ac:dyDescent="0.3">
      <c r="A478" t="s">
        <v>271</v>
      </c>
      <c r="B478">
        <v>25</v>
      </c>
    </row>
    <row r="479" spans="1:2" x14ac:dyDescent="0.3">
      <c r="A479" t="s">
        <v>2033</v>
      </c>
      <c r="B479">
        <v>24</v>
      </c>
    </row>
    <row r="480" spans="1:2" x14ac:dyDescent="0.3">
      <c r="A480" t="s">
        <v>1290</v>
      </c>
      <c r="B480">
        <v>24</v>
      </c>
    </row>
    <row r="481" spans="1:2" x14ac:dyDescent="0.3">
      <c r="A481" t="s">
        <v>1772</v>
      </c>
      <c r="B481">
        <v>24</v>
      </c>
    </row>
    <row r="482" spans="1:2" x14ac:dyDescent="0.3">
      <c r="A482" t="s">
        <v>2034</v>
      </c>
      <c r="B482">
        <v>23</v>
      </c>
    </row>
    <row r="483" spans="1:2" x14ac:dyDescent="0.3">
      <c r="A483" t="s">
        <v>2035</v>
      </c>
      <c r="B483">
        <v>23</v>
      </c>
    </row>
    <row r="484" spans="1:2" x14ac:dyDescent="0.3">
      <c r="A484" t="s">
        <v>464</v>
      </c>
      <c r="B484">
        <v>22</v>
      </c>
    </row>
    <row r="485" spans="1:2" x14ac:dyDescent="0.3">
      <c r="A485" t="s">
        <v>1628</v>
      </c>
      <c r="B485">
        <v>22</v>
      </c>
    </row>
    <row r="486" spans="1:2" x14ac:dyDescent="0.3">
      <c r="A486" t="s">
        <v>2036</v>
      </c>
      <c r="B486">
        <v>22</v>
      </c>
    </row>
    <row r="487" spans="1:2" x14ac:dyDescent="0.3">
      <c r="A487" t="s">
        <v>1063</v>
      </c>
      <c r="B487">
        <v>22</v>
      </c>
    </row>
    <row r="488" spans="1:2" x14ac:dyDescent="0.3">
      <c r="A488" t="s">
        <v>1960</v>
      </c>
      <c r="B488">
        <v>22</v>
      </c>
    </row>
    <row r="489" spans="1:2" x14ac:dyDescent="0.3">
      <c r="A489" t="s">
        <v>2037</v>
      </c>
      <c r="B489">
        <v>22</v>
      </c>
    </row>
    <row r="490" spans="1:2" x14ac:dyDescent="0.3">
      <c r="A490" t="s">
        <v>369</v>
      </c>
      <c r="B490">
        <v>21</v>
      </c>
    </row>
    <row r="491" spans="1:2" x14ac:dyDescent="0.3">
      <c r="A491" t="s">
        <v>2038</v>
      </c>
      <c r="B491">
        <v>21</v>
      </c>
    </row>
    <row r="492" spans="1:2" x14ac:dyDescent="0.3">
      <c r="A492" t="s">
        <v>1918</v>
      </c>
      <c r="B492">
        <v>20</v>
      </c>
    </row>
    <row r="493" spans="1:2" x14ac:dyDescent="0.3">
      <c r="A493" t="s">
        <v>1444</v>
      </c>
      <c r="B493">
        <v>19</v>
      </c>
    </row>
    <row r="494" spans="1:2" x14ac:dyDescent="0.3">
      <c r="A494" t="s">
        <v>2039</v>
      </c>
      <c r="B494">
        <v>19</v>
      </c>
    </row>
    <row r="495" spans="1:2" x14ac:dyDescent="0.3">
      <c r="A495" t="s">
        <v>341</v>
      </c>
      <c r="B495">
        <v>19</v>
      </c>
    </row>
    <row r="496" spans="1:2" x14ac:dyDescent="0.3">
      <c r="A496" t="s">
        <v>1739</v>
      </c>
      <c r="B496">
        <v>19</v>
      </c>
    </row>
    <row r="497" spans="1:2" x14ac:dyDescent="0.3">
      <c r="A497" t="s">
        <v>448</v>
      </c>
      <c r="B497">
        <v>18</v>
      </c>
    </row>
    <row r="498" spans="1:2" x14ac:dyDescent="0.3">
      <c r="A498" t="s">
        <v>451</v>
      </c>
      <c r="B498">
        <v>18</v>
      </c>
    </row>
    <row r="499" spans="1:2" x14ac:dyDescent="0.3">
      <c r="A499" t="s">
        <v>461</v>
      </c>
      <c r="B499">
        <v>18</v>
      </c>
    </row>
    <row r="500" spans="1:2" x14ac:dyDescent="0.3">
      <c r="A500" t="s">
        <v>41</v>
      </c>
      <c r="B500">
        <v>18</v>
      </c>
    </row>
    <row r="501" spans="1:2" x14ac:dyDescent="0.3">
      <c r="A501" t="s">
        <v>1854</v>
      </c>
      <c r="B501">
        <v>18</v>
      </c>
    </row>
    <row r="502" spans="1:2" x14ac:dyDescent="0.3">
      <c r="A502" t="s">
        <v>1314</v>
      </c>
      <c r="B502">
        <v>17</v>
      </c>
    </row>
    <row r="503" spans="1:2" x14ac:dyDescent="0.3">
      <c r="A503" t="s">
        <v>709</v>
      </c>
      <c r="B503">
        <v>17</v>
      </c>
    </row>
    <row r="504" spans="1:2" x14ac:dyDescent="0.3">
      <c r="A504" t="s">
        <v>524</v>
      </c>
      <c r="B504">
        <v>16</v>
      </c>
    </row>
    <row r="505" spans="1:2" x14ac:dyDescent="0.3">
      <c r="A505" t="s">
        <v>1602</v>
      </c>
      <c r="B505">
        <v>16</v>
      </c>
    </row>
    <row r="506" spans="1:2" x14ac:dyDescent="0.3">
      <c r="A506" t="s">
        <v>81</v>
      </c>
      <c r="B506">
        <v>16</v>
      </c>
    </row>
    <row r="507" spans="1:2" x14ac:dyDescent="0.3">
      <c r="A507" t="s">
        <v>2040</v>
      </c>
      <c r="B507">
        <v>16</v>
      </c>
    </row>
    <row r="508" spans="1:2" x14ac:dyDescent="0.3">
      <c r="A508" t="s">
        <v>2041</v>
      </c>
      <c r="B508">
        <v>16</v>
      </c>
    </row>
    <row r="509" spans="1:2" x14ac:dyDescent="0.3">
      <c r="A509" t="s">
        <v>2042</v>
      </c>
      <c r="B509">
        <v>15</v>
      </c>
    </row>
    <row r="510" spans="1:2" x14ac:dyDescent="0.3">
      <c r="A510" t="s">
        <v>785</v>
      </c>
      <c r="B510">
        <v>15</v>
      </c>
    </row>
    <row r="511" spans="1:2" x14ac:dyDescent="0.3">
      <c r="A511" t="s">
        <v>2043</v>
      </c>
      <c r="B511">
        <v>15</v>
      </c>
    </row>
    <row r="512" spans="1:2" x14ac:dyDescent="0.3">
      <c r="A512" t="s">
        <v>1695</v>
      </c>
      <c r="B512">
        <v>15</v>
      </c>
    </row>
    <row r="513" spans="1:2" x14ac:dyDescent="0.3">
      <c r="A513" t="s">
        <v>169</v>
      </c>
      <c r="B513">
        <v>15</v>
      </c>
    </row>
    <row r="514" spans="1:2" x14ac:dyDescent="0.3">
      <c r="A514" t="s">
        <v>1281</v>
      </c>
      <c r="B514">
        <v>15</v>
      </c>
    </row>
    <row r="515" spans="1:2" x14ac:dyDescent="0.3">
      <c r="A515" t="s">
        <v>1736</v>
      </c>
      <c r="B515">
        <v>14</v>
      </c>
    </row>
    <row r="516" spans="1:2" x14ac:dyDescent="0.3">
      <c r="A516" t="s">
        <v>482</v>
      </c>
      <c r="B516">
        <v>14</v>
      </c>
    </row>
    <row r="517" spans="1:2" x14ac:dyDescent="0.3">
      <c r="A517" t="s">
        <v>1482</v>
      </c>
      <c r="B517">
        <v>14</v>
      </c>
    </row>
    <row r="518" spans="1:2" x14ac:dyDescent="0.3">
      <c r="A518" t="s">
        <v>1689</v>
      </c>
      <c r="B518">
        <v>14</v>
      </c>
    </row>
    <row r="519" spans="1:2" x14ac:dyDescent="0.3">
      <c r="A519" t="s">
        <v>2044</v>
      </c>
      <c r="B519">
        <v>13</v>
      </c>
    </row>
    <row r="520" spans="1:2" x14ac:dyDescent="0.3">
      <c r="A520" t="s">
        <v>1190</v>
      </c>
      <c r="B520">
        <v>13</v>
      </c>
    </row>
    <row r="521" spans="1:2" x14ac:dyDescent="0.3">
      <c r="A521" t="s">
        <v>2045</v>
      </c>
      <c r="B521">
        <v>13</v>
      </c>
    </row>
    <row r="522" spans="1:2" x14ac:dyDescent="0.3">
      <c r="A522" t="s">
        <v>2046</v>
      </c>
      <c r="B522">
        <v>13</v>
      </c>
    </row>
    <row r="523" spans="1:2" x14ac:dyDescent="0.3">
      <c r="A523" t="s">
        <v>1648</v>
      </c>
      <c r="B523">
        <v>13</v>
      </c>
    </row>
    <row r="524" spans="1:2" x14ac:dyDescent="0.3">
      <c r="A524" t="s">
        <v>1851</v>
      </c>
      <c r="B524">
        <v>12</v>
      </c>
    </row>
    <row r="525" spans="1:2" x14ac:dyDescent="0.3">
      <c r="A525" t="s">
        <v>1692</v>
      </c>
      <c r="B525">
        <v>12</v>
      </c>
    </row>
    <row r="526" spans="1:2" x14ac:dyDescent="0.3">
      <c r="A526" t="s">
        <v>1148</v>
      </c>
      <c r="B526">
        <v>12</v>
      </c>
    </row>
    <row r="527" spans="1:2" x14ac:dyDescent="0.3">
      <c r="A527" t="s">
        <v>2047</v>
      </c>
      <c r="B527">
        <v>12</v>
      </c>
    </row>
    <row r="528" spans="1:2" x14ac:dyDescent="0.3">
      <c r="A528" t="s">
        <v>885</v>
      </c>
      <c r="B528">
        <v>11</v>
      </c>
    </row>
    <row r="529" spans="1:2" x14ac:dyDescent="0.3">
      <c r="A529" t="s">
        <v>888</v>
      </c>
      <c r="B529">
        <v>11</v>
      </c>
    </row>
    <row r="530" spans="1:2" x14ac:dyDescent="0.3">
      <c r="A530" t="s">
        <v>2048</v>
      </c>
      <c r="B530">
        <v>11</v>
      </c>
    </row>
    <row r="531" spans="1:2" x14ac:dyDescent="0.3">
      <c r="A531" t="s">
        <v>2049</v>
      </c>
      <c r="B531">
        <v>11</v>
      </c>
    </row>
    <row r="532" spans="1:2" x14ac:dyDescent="0.3">
      <c r="A532" t="s">
        <v>402</v>
      </c>
      <c r="B532">
        <v>11</v>
      </c>
    </row>
    <row r="533" spans="1:2" x14ac:dyDescent="0.3">
      <c r="A533" t="s">
        <v>2050</v>
      </c>
      <c r="B533">
        <v>11</v>
      </c>
    </row>
    <row r="534" spans="1:2" x14ac:dyDescent="0.3">
      <c r="A534" t="s">
        <v>2051</v>
      </c>
      <c r="B534">
        <v>11</v>
      </c>
    </row>
    <row r="535" spans="1:2" x14ac:dyDescent="0.3">
      <c r="A535" t="s">
        <v>990</v>
      </c>
      <c r="B535">
        <v>10</v>
      </c>
    </row>
    <row r="536" spans="1:2" x14ac:dyDescent="0.3">
      <c r="A536" t="s">
        <v>2052</v>
      </c>
      <c r="B536">
        <v>10</v>
      </c>
    </row>
    <row r="537" spans="1:2" x14ac:dyDescent="0.3">
      <c r="A537" t="s">
        <v>593</v>
      </c>
      <c r="B537">
        <v>10</v>
      </c>
    </row>
    <row r="538" spans="1:2" x14ac:dyDescent="0.3">
      <c r="A538" t="s">
        <v>2053</v>
      </c>
      <c r="B538">
        <v>10</v>
      </c>
    </row>
    <row r="539" spans="1:2" x14ac:dyDescent="0.3">
      <c r="A539" t="s">
        <v>1614</v>
      </c>
      <c r="B539">
        <v>10</v>
      </c>
    </row>
    <row r="540" spans="1:2" x14ac:dyDescent="0.3">
      <c r="A540" t="s">
        <v>1803</v>
      </c>
      <c r="B540">
        <v>9</v>
      </c>
    </row>
    <row r="541" spans="1:2" x14ac:dyDescent="0.3">
      <c r="A541" t="s">
        <v>458</v>
      </c>
      <c r="B541">
        <v>9</v>
      </c>
    </row>
    <row r="542" spans="1:2" x14ac:dyDescent="0.3">
      <c r="A542" t="s">
        <v>788</v>
      </c>
      <c r="B542">
        <v>9</v>
      </c>
    </row>
    <row r="543" spans="1:2" x14ac:dyDescent="0.3">
      <c r="A543" t="s">
        <v>1637</v>
      </c>
      <c r="B543">
        <v>9</v>
      </c>
    </row>
    <row r="544" spans="1:2" x14ac:dyDescent="0.3">
      <c r="A544" t="s">
        <v>2054</v>
      </c>
      <c r="B544">
        <v>9</v>
      </c>
    </row>
    <row r="545" spans="1:2" x14ac:dyDescent="0.3">
      <c r="A545" t="s">
        <v>537</v>
      </c>
      <c r="B545">
        <v>8</v>
      </c>
    </row>
    <row r="546" spans="1:2" x14ac:dyDescent="0.3">
      <c r="A546" t="s">
        <v>847</v>
      </c>
      <c r="B546">
        <v>8</v>
      </c>
    </row>
    <row r="547" spans="1:2" x14ac:dyDescent="0.3">
      <c r="A547" t="s">
        <v>2055</v>
      </c>
      <c r="B547">
        <v>8</v>
      </c>
    </row>
    <row r="548" spans="1:2" x14ac:dyDescent="0.3">
      <c r="A548" t="s">
        <v>256</v>
      </c>
      <c r="B548">
        <v>8</v>
      </c>
    </row>
    <row r="549" spans="1:2" x14ac:dyDescent="0.3">
      <c r="A549" t="s">
        <v>1545</v>
      </c>
      <c r="B549">
        <v>8</v>
      </c>
    </row>
    <row r="550" spans="1:2" x14ac:dyDescent="0.3">
      <c r="A550" t="s">
        <v>435</v>
      </c>
      <c r="B550">
        <v>8</v>
      </c>
    </row>
    <row r="551" spans="1:2" x14ac:dyDescent="0.3">
      <c r="A551" t="s">
        <v>1656</v>
      </c>
      <c r="B551">
        <v>8</v>
      </c>
    </row>
    <row r="552" spans="1:2" x14ac:dyDescent="0.3">
      <c r="A552" t="s">
        <v>1964</v>
      </c>
      <c r="B552">
        <v>8</v>
      </c>
    </row>
    <row r="553" spans="1:2" x14ac:dyDescent="0.3">
      <c r="A553" t="s">
        <v>2056</v>
      </c>
      <c r="B553">
        <v>8</v>
      </c>
    </row>
    <row r="554" spans="1:2" x14ac:dyDescent="0.3">
      <c r="A554" t="s">
        <v>1907</v>
      </c>
      <c r="B554">
        <v>8</v>
      </c>
    </row>
    <row r="555" spans="1:2" x14ac:dyDescent="0.3">
      <c r="A555" t="s">
        <v>682</v>
      </c>
      <c r="B555">
        <v>7</v>
      </c>
    </row>
    <row r="556" spans="1:2" x14ac:dyDescent="0.3">
      <c r="A556" t="s">
        <v>1037</v>
      </c>
      <c r="B556">
        <v>7</v>
      </c>
    </row>
    <row r="557" spans="1:2" x14ac:dyDescent="0.3">
      <c r="A557" t="s">
        <v>2057</v>
      </c>
      <c r="B557">
        <v>7</v>
      </c>
    </row>
    <row r="558" spans="1:2" x14ac:dyDescent="0.3">
      <c r="A558" t="s">
        <v>1200</v>
      </c>
      <c r="B558">
        <v>7</v>
      </c>
    </row>
    <row r="559" spans="1:2" x14ac:dyDescent="0.3">
      <c r="A559" t="s">
        <v>225</v>
      </c>
      <c r="B559">
        <v>7</v>
      </c>
    </row>
    <row r="560" spans="1:2" x14ac:dyDescent="0.3">
      <c r="A560" t="s">
        <v>994</v>
      </c>
      <c r="B560">
        <v>7</v>
      </c>
    </row>
    <row r="561" spans="1:2" x14ac:dyDescent="0.3">
      <c r="A561" t="s">
        <v>2058</v>
      </c>
      <c r="B561">
        <v>7</v>
      </c>
    </row>
    <row r="562" spans="1:2" x14ac:dyDescent="0.3">
      <c r="A562" t="s">
        <v>2059</v>
      </c>
      <c r="B562">
        <v>7</v>
      </c>
    </row>
    <row r="563" spans="1:2" x14ac:dyDescent="0.3">
      <c r="A563" t="s">
        <v>234</v>
      </c>
      <c r="B563">
        <v>7</v>
      </c>
    </row>
    <row r="564" spans="1:2" x14ac:dyDescent="0.3">
      <c r="A564" t="s">
        <v>1331</v>
      </c>
      <c r="B564">
        <v>6</v>
      </c>
    </row>
    <row r="565" spans="1:2" x14ac:dyDescent="0.3">
      <c r="A565" t="s">
        <v>1569</v>
      </c>
      <c r="B565">
        <v>6</v>
      </c>
    </row>
    <row r="566" spans="1:2" x14ac:dyDescent="0.3">
      <c r="A566" t="s">
        <v>2060</v>
      </c>
      <c r="B566">
        <v>6</v>
      </c>
    </row>
    <row r="567" spans="1:2" x14ac:dyDescent="0.3">
      <c r="A567" t="s">
        <v>102</v>
      </c>
      <c r="B567">
        <v>6</v>
      </c>
    </row>
    <row r="568" spans="1:2" x14ac:dyDescent="0.3">
      <c r="A568" t="s">
        <v>2061</v>
      </c>
      <c r="B568">
        <v>6</v>
      </c>
    </row>
    <row r="569" spans="1:2" x14ac:dyDescent="0.3">
      <c r="A569" t="s">
        <v>2062</v>
      </c>
      <c r="B569">
        <v>6</v>
      </c>
    </row>
    <row r="570" spans="1:2" x14ac:dyDescent="0.3">
      <c r="A570" t="s">
        <v>2063</v>
      </c>
      <c r="B570">
        <v>6</v>
      </c>
    </row>
    <row r="571" spans="1:2" x14ac:dyDescent="0.3">
      <c r="A571" t="s">
        <v>2064</v>
      </c>
      <c r="B571">
        <v>6</v>
      </c>
    </row>
    <row r="572" spans="1:2" x14ac:dyDescent="0.3">
      <c r="A572" t="s">
        <v>1417</v>
      </c>
      <c r="B572">
        <v>6</v>
      </c>
    </row>
    <row r="573" spans="1:2" x14ac:dyDescent="0.3">
      <c r="A573" t="s">
        <v>1107</v>
      </c>
      <c r="B573">
        <v>6</v>
      </c>
    </row>
    <row r="574" spans="1:2" x14ac:dyDescent="0.3">
      <c r="A574" t="s">
        <v>2065</v>
      </c>
      <c r="B574">
        <v>6</v>
      </c>
    </row>
    <row r="575" spans="1:2" x14ac:dyDescent="0.3">
      <c r="A575" t="s">
        <v>2066</v>
      </c>
      <c r="B575">
        <v>6</v>
      </c>
    </row>
    <row r="576" spans="1:2" x14ac:dyDescent="0.3">
      <c r="A576" t="s">
        <v>646</v>
      </c>
      <c r="B576">
        <v>6</v>
      </c>
    </row>
    <row r="577" spans="1:2" x14ac:dyDescent="0.3">
      <c r="A577" t="s">
        <v>2067</v>
      </c>
      <c r="B577">
        <v>6</v>
      </c>
    </row>
    <row r="578" spans="1:2" x14ac:dyDescent="0.3">
      <c r="A578" t="s">
        <v>1003</v>
      </c>
      <c r="B578">
        <v>6</v>
      </c>
    </row>
    <row r="579" spans="1:2" x14ac:dyDescent="0.3">
      <c r="A579" t="s">
        <v>2068</v>
      </c>
      <c r="B579">
        <v>6</v>
      </c>
    </row>
    <row r="580" spans="1:2" x14ac:dyDescent="0.3">
      <c r="A580" t="s">
        <v>1426</v>
      </c>
      <c r="B580">
        <v>6</v>
      </c>
    </row>
    <row r="581" spans="1:2" x14ac:dyDescent="0.3">
      <c r="A581" t="s">
        <v>1316</v>
      </c>
      <c r="B581">
        <v>6</v>
      </c>
    </row>
    <row r="582" spans="1:2" x14ac:dyDescent="0.3">
      <c r="A582" t="s">
        <v>140</v>
      </c>
      <c r="B582">
        <v>6</v>
      </c>
    </row>
    <row r="583" spans="1:2" x14ac:dyDescent="0.3">
      <c r="A583" t="s">
        <v>2069</v>
      </c>
      <c r="B583">
        <v>6</v>
      </c>
    </row>
    <row r="584" spans="1:2" x14ac:dyDescent="0.3">
      <c r="A584" t="s">
        <v>997</v>
      </c>
      <c r="B584">
        <v>6</v>
      </c>
    </row>
    <row r="585" spans="1:2" x14ac:dyDescent="0.3">
      <c r="A585" t="s">
        <v>1441</v>
      </c>
      <c r="B585">
        <v>6</v>
      </c>
    </row>
    <row r="586" spans="1:2" x14ac:dyDescent="0.3">
      <c r="A586" t="s">
        <v>1866</v>
      </c>
      <c r="B586">
        <v>5</v>
      </c>
    </row>
    <row r="587" spans="1:2" x14ac:dyDescent="0.3">
      <c r="A587" t="s">
        <v>1089</v>
      </c>
      <c r="B587">
        <v>5</v>
      </c>
    </row>
    <row r="588" spans="1:2" x14ac:dyDescent="0.3">
      <c r="A588" t="s">
        <v>2070</v>
      </c>
      <c r="B588">
        <v>5</v>
      </c>
    </row>
    <row r="589" spans="1:2" x14ac:dyDescent="0.3">
      <c r="A589" t="s">
        <v>605</v>
      </c>
      <c r="B589">
        <v>5</v>
      </c>
    </row>
    <row r="590" spans="1:2" x14ac:dyDescent="0.3">
      <c r="A590" t="s">
        <v>2071</v>
      </c>
      <c r="B590">
        <v>5</v>
      </c>
    </row>
    <row r="591" spans="1:2" x14ac:dyDescent="0.3">
      <c r="A591" t="s">
        <v>2072</v>
      </c>
      <c r="B591">
        <v>5</v>
      </c>
    </row>
    <row r="592" spans="1:2" x14ac:dyDescent="0.3">
      <c r="A592" t="s">
        <v>2073</v>
      </c>
      <c r="B592">
        <v>5</v>
      </c>
    </row>
    <row r="593" spans="1:2" x14ac:dyDescent="0.3">
      <c r="A593" t="s">
        <v>2074</v>
      </c>
      <c r="B593">
        <v>5</v>
      </c>
    </row>
    <row r="594" spans="1:2" x14ac:dyDescent="0.3">
      <c r="A594" t="s">
        <v>419</v>
      </c>
      <c r="B594">
        <v>5</v>
      </c>
    </row>
    <row r="595" spans="1:2" x14ac:dyDescent="0.3">
      <c r="A595" t="s">
        <v>2075</v>
      </c>
      <c r="B595">
        <v>5</v>
      </c>
    </row>
    <row r="596" spans="1:2" x14ac:dyDescent="0.3">
      <c r="A596" t="s">
        <v>2076</v>
      </c>
      <c r="B596">
        <v>5</v>
      </c>
    </row>
    <row r="597" spans="1:2" x14ac:dyDescent="0.3">
      <c r="A597" t="s">
        <v>2077</v>
      </c>
      <c r="B597">
        <v>5</v>
      </c>
    </row>
    <row r="598" spans="1:2" x14ac:dyDescent="0.3">
      <c r="A598" t="s">
        <v>1347</v>
      </c>
      <c r="B598">
        <v>5</v>
      </c>
    </row>
    <row r="599" spans="1:2" x14ac:dyDescent="0.3">
      <c r="A599" t="s">
        <v>2078</v>
      </c>
      <c r="B599">
        <v>5</v>
      </c>
    </row>
    <row r="600" spans="1:2" x14ac:dyDescent="0.3">
      <c r="A600" t="s">
        <v>19</v>
      </c>
      <c r="B600">
        <v>5</v>
      </c>
    </row>
    <row r="601" spans="1:2" x14ac:dyDescent="0.3">
      <c r="A601" t="s">
        <v>1947</v>
      </c>
      <c r="B601">
        <v>4</v>
      </c>
    </row>
    <row r="602" spans="1:2" x14ac:dyDescent="0.3">
      <c r="A602" t="s">
        <v>338</v>
      </c>
      <c r="B602">
        <v>4</v>
      </c>
    </row>
    <row r="603" spans="1:2" x14ac:dyDescent="0.3">
      <c r="A603" t="s">
        <v>2079</v>
      </c>
      <c r="B603">
        <v>4</v>
      </c>
    </row>
    <row r="604" spans="1:2" x14ac:dyDescent="0.3">
      <c r="A604" t="s">
        <v>643</v>
      </c>
      <c r="B604">
        <v>4</v>
      </c>
    </row>
    <row r="605" spans="1:2" x14ac:dyDescent="0.3">
      <c r="A605" t="s">
        <v>1127</v>
      </c>
      <c r="B605">
        <v>4</v>
      </c>
    </row>
    <row r="606" spans="1:2" x14ac:dyDescent="0.3">
      <c r="A606" t="s">
        <v>984</v>
      </c>
      <c r="B606">
        <v>4</v>
      </c>
    </row>
    <row r="607" spans="1:2" x14ac:dyDescent="0.3">
      <c r="A607" t="s">
        <v>697</v>
      </c>
      <c r="B607">
        <v>4</v>
      </c>
    </row>
    <row r="608" spans="1:2" x14ac:dyDescent="0.3">
      <c r="A608" t="s">
        <v>2080</v>
      </c>
      <c r="B608">
        <v>4</v>
      </c>
    </row>
    <row r="609" spans="1:2" x14ac:dyDescent="0.3">
      <c r="A609" t="s">
        <v>2081</v>
      </c>
      <c r="B609">
        <v>4</v>
      </c>
    </row>
    <row r="610" spans="1:2" x14ac:dyDescent="0.3">
      <c r="A610" t="s">
        <v>1686</v>
      </c>
      <c r="B610">
        <v>4</v>
      </c>
    </row>
    <row r="611" spans="1:2" x14ac:dyDescent="0.3">
      <c r="A611" t="s">
        <v>1030</v>
      </c>
      <c r="B611">
        <v>4</v>
      </c>
    </row>
    <row r="612" spans="1:2" x14ac:dyDescent="0.3">
      <c r="A612" t="s">
        <v>916</v>
      </c>
      <c r="B612">
        <v>4</v>
      </c>
    </row>
    <row r="613" spans="1:2" x14ac:dyDescent="0.3">
      <c r="A613" t="s">
        <v>2082</v>
      </c>
      <c r="B613">
        <v>4</v>
      </c>
    </row>
    <row r="614" spans="1:2" x14ac:dyDescent="0.3">
      <c r="A614" t="s">
        <v>2083</v>
      </c>
      <c r="B614">
        <v>4</v>
      </c>
    </row>
    <row r="615" spans="1:2" x14ac:dyDescent="0.3">
      <c r="A615" t="s">
        <v>422</v>
      </c>
      <c r="B615">
        <v>4</v>
      </c>
    </row>
    <row r="616" spans="1:2" x14ac:dyDescent="0.3">
      <c r="A616" t="s">
        <v>2084</v>
      </c>
      <c r="B616">
        <v>4</v>
      </c>
    </row>
    <row r="617" spans="1:2" x14ac:dyDescent="0.3">
      <c r="A617" t="s">
        <v>2085</v>
      </c>
      <c r="B617">
        <v>3</v>
      </c>
    </row>
    <row r="618" spans="1:2" x14ac:dyDescent="0.3">
      <c r="A618" t="s">
        <v>2086</v>
      </c>
      <c r="B618">
        <v>3</v>
      </c>
    </row>
    <row r="619" spans="1:2" x14ac:dyDescent="0.3">
      <c r="A619" t="s">
        <v>2087</v>
      </c>
      <c r="B619">
        <v>3</v>
      </c>
    </row>
    <row r="620" spans="1:2" x14ac:dyDescent="0.3">
      <c r="A620" t="s">
        <v>1372</v>
      </c>
      <c r="B620">
        <v>3</v>
      </c>
    </row>
    <row r="621" spans="1:2" x14ac:dyDescent="0.3">
      <c r="A621" t="s">
        <v>1912</v>
      </c>
      <c r="B621">
        <v>3</v>
      </c>
    </row>
    <row r="622" spans="1:2" x14ac:dyDescent="0.3">
      <c r="A622" t="s">
        <v>1252</v>
      </c>
      <c r="B622">
        <v>3</v>
      </c>
    </row>
    <row r="623" spans="1:2" x14ac:dyDescent="0.3">
      <c r="A623" t="s">
        <v>2088</v>
      </c>
      <c r="B623">
        <v>3</v>
      </c>
    </row>
    <row r="624" spans="1:2" x14ac:dyDescent="0.3">
      <c r="A624" t="s">
        <v>837</v>
      </c>
      <c r="B624">
        <v>3</v>
      </c>
    </row>
    <row r="625" spans="1:2" x14ac:dyDescent="0.3">
      <c r="A625" t="s">
        <v>2089</v>
      </c>
      <c r="B625">
        <v>3</v>
      </c>
    </row>
    <row r="626" spans="1:2" x14ac:dyDescent="0.3">
      <c r="A626" t="s">
        <v>49</v>
      </c>
      <c r="B626">
        <v>3</v>
      </c>
    </row>
    <row r="627" spans="1:2" x14ac:dyDescent="0.3">
      <c r="A627" t="s">
        <v>299</v>
      </c>
      <c r="B627">
        <v>3</v>
      </c>
    </row>
    <row r="628" spans="1:2" x14ac:dyDescent="0.3">
      <c r="A628" t="s">
        <v>2090</v>
      </c>
      <c r="B628">
        <v>3</v>
      </c>
    </row>
    <row r="629" spans="1:2" x14ac:dyDescent="0.3">
      <c r="A629" t="s">
        <v>2091</v>
      </c>
      <c r="B629">
        <v>3</v>
      </c>
    </row>
    <row r="630" spans="1:2" x14ac:dyDescent="0.3">
      <c r="A630" t="s">
        <v>2092</v>
      </c>
      <c r="B630">
        <v>3</v>
      </c>
    </row>
    <row r="631" spans="1:2" x14ac:dyDescent="0.3">
      <c r="A631" t="s">
        <v>809</v>
      </c>
      <c r="B631">
        <v>3</v>
      </c>
    </row>
    <row r="632" spans="1:2" x14ac:dyDescent="0.3">
      <c r="A632" t="s">
        <v>1892</v>
      </c>
      <c r="B632">
        <v>3</v>
      </c>
    </row>
    <row r="633" spans="1:2" x14ac:dyDescent="0.3">
      <c r="A633" t="s">
        <v>2093</v>
      </c>
      <c r="B633">
        <v>3</v>
      </c>
    </row>
    <row r="634" spans="1:2" x14ac:dyDescent="0.3">
      <c r="A634" t="s">
        <v>2094</v>
      </c>
      <c r="B634">
        <v>3</v>
      </c>
    </row>
    <row r="635" spans="1:2" x14ac:dyDescent="0.3">
      <c r="A635" t="s">
        <v>2095</v>
      </c>
      <c r="B635">
        <v>3</v>
      </c>
    </row>
    <row r="636" spans="1:2" x14ac:dyDescent="0.3">
      <c r="A636" t="s">
        <v>2096</v>
      </c>
      <c r="B636">
        <v>3</v>
      </c>
    </row>
    <row r="637" spans="1:2" x14ac:dyDescent="0.3">
      <c r="A637" t="s">
        <v>1395</v>
      </c>
      <c r="B637">
        <v>3</v>
      </c>
    </row>
    <row r="638" spans="1:2" x14ac:dyDescent="0.3">
      <c r="A638" t="s">
        <v>1081</v>
      </c>
      <c r="B638">
        <v>3</v>
      </c>
    </row>
    <row r="639" spans="1:2" x14ac:dyDescent="0.3">
      <c r="A639" t="s">
        <v>1843</v>
      </c>
      <c r="B639">
        <v>3</v>
      </c>
    </row>
    <row r="640" spans="1:2" x14ac:dyDescent="0.3">
      <c r="A640" t="s">
        <v>268</v>
      </c>
      <c r="B640">
        <v>3</v>
      </c>
    </row>
    <row r="641" spans="1:2" x14ac:dyDescent="0.3">
      <c r="A641" t="s">
        <v>2097</v>
      </c>
      <c r="B641">
        <v>3</v>
      </c>
    </row>
    <row r="642" spans="1:2" x14ac:dyDescent="0.3">
      <c r="A642" t="s">
        <v>2098</v>
      </c>
      <c r="B642">
        <v>3</v>
      </c>
    </row>
    <row r="643" spans="1:2" x14ac:dyDescent="0.3">
      <c r="A643" t="s">
        <v>2099</v>
      </c>
      <c r="B643">
        <v>3</v>
      </c>
    </row>
    <row r="644" spans="1:2" x14ac:dyDescent="0.3">
      <c r="A644" t="s">
        <v>2100</v>
      </c>
      <c r="B644">
        <v>3</v>
      </c>
    </row>
    <row r="645" spans="1:2" x14ac:dyDescent="0.3">
      <c r="A645" t="s">
        <v>752</v>
      </c>
      <c r="B645">
        <v>3</v>
      </c>
    </row>
    <row r="646" spans="1:2" x14ac:dyDescent="0.3">
      <c r="A646" t="s">
        <v>500</v>
      </c>
      <c r="B646">
        <v>3</v>
      </c>
    </row>
    <row r="647" spans="1:2" x14ac:dyDescent="0.3">
      <c r="A647" t="s">
        <v>2101</v>
      </c>
      <c r="B647">
        <v>3</v>
      </c>
    </row>
    <row r="648" spans="1:2" x14ac:dyDescent="0.3">
      <c r="A648" t="s">
        <v>1504</v>
      </c>
      <c r="B648">
        <v>3</v>
      </c>
    </row>
    <row r="649" spans="1:2" x14ac:dyDescent="0.3">
      <c r="A649" t="s">
        <v>2102</v>
      </c>
      <c r="B649">
        <v>3</v>
      </c>
    </row>
    <row r="650" spans="1:2" x14ac:dyDescent="0.3">
      <c r="A650" t="s">
        <v>2103</v>
      </c>
      <c r="B650">
        <v>3</v>
      </c>
    </row>
    <row r="651" spans="1:2" x14ac:dyDescent="0.3">
      <c r="A651" t="s">
        <v>2104</v>
      </c>
      <c r="B651">
        <v>3</v>
      </c>
    </row>
    <row r="652" spans="1:2" x14ac:dyDescent="0.3">
      <c r="A652" t="s">
        <v>688</v>
      </c>
      <c r="B652">
        <v>3</v>
      </c>
    </row>
    <row r="653" spans="1:2" x14ac:dyDescent="0.3">
      <c r="A653" t="s">
        <v>1492</v>
      </c>
      <c r="B653">
        <v>3</v>
      </c>
    </row>
    <row r="654" spans="1:2" x14ac:dyDescent="0.3">
      <c r="A654" t="s">
        <v>2105</v>
      </c>
      <c r="B654">
        <v>3</v>
      </c>
    </row>
    <row r="655" spans="1:2" x14ac:dyDescent="0.3">
      <c r="A655" t="s">
        <v>2106</v>
      </c>
      <c r="B655">
        <v>2</v>
      </c>
    </row>
    <row r="656" spans="1:2" x14ac:dyDescent="0.3">
      <c r="A656" t="s">
        <v>2107</v>
      </c>
      <c r="B656">
        <v>2</v>
      </c>
    </row>
    <row r="657" spans="1:2" x14ac:dyDescent="0.3">
      <c r="A657" t="s">
        <v>2108</v>
      </c>
      <c r="B657">
        <v>2</v>
      </c>
    </row>
    <row r="658" spans="1:2" x14ac:dyDescent="0.3">
      <c r="A658" t="s">
        <v>656</v>
      </c>
      <c r="B658">
        <v>2</v>
      </c>
    </row>
    <row r="659" spans="1:2" x14ac:dyDescent="0.3">
      <c r="A659" t="s">
        <v>241</v>
      </c>
      <c r="B659">
        <v>2</v>
      </c>
    </row>
    <row r="660" spans="1:2" x14ac:dyDescent="0.3">
      <c r="A660" t="s">
        <v>390</v>
      </c>
      <c r="B660">
        <v>2</v>
      </c>
    </row>
    <row r="661" spans="1:2" x14ac:dyDescent="0.3">
      <c r="A661" t="s">
        <v>2109</v>
      </c>
      <c r="B661">
        <v>2</v>
      </c>
    </row>
    <row r="662" spans="1:2" x14ac:dyDescent="0.3">
      <c r="A662" t="s">
        <v>2110</v>
      </c>
      <c r="B662">
        <v>2</v>
      </c>
    </row>
    <row r="663" spans="1:2" x14ac:dyDescent="0.3">
      <c r="A663" t="s">
        <v>1178</v>
      </c>
      <c r="B663">
        <v>2</v>
      </c>
    </row>
    <row r="664" spans="1:2" x14ac:dyDescent="0.3">
      <c r="A664" t="s">
        <v>2111</v>
      </c>
      <c r="B664">
        <v>2</v>
      </c>
    </row>
    <row r="665" spans="1:2" x14ac:dyDescent="0.3">
      <c r="A665" t="s">
        <v>1450</v>
      </c>
      <c r="B665">
        <v>2</v>
      </c>
    </row>
    <row r="666" spans="1:2" x14ac:dyDescent="0.3">
      <c r="A666" t="s">
        <v>2112</v>
      </c>
      <c r="B666">
        <v>2</v>
      </c>
    </row>
    <row r="667" spans="1:2" x14ac:dyDescent="0.3">
      <c r="A667" t="s">
        <v>1009</v>
      </c>
      <c r="B667">
        <v>2</v>
      </c>
    </row>
    <row r="668" spans="1:2" x14ac:dyDescent="0.3">
      <c r="A668" t="s">
        <v>2113</v>
      </c>
      <c r="B668">
        <v>2</v>
      </c>
    </row>
    <row r="669" spans="1:2" x14ac:dyDescent="0.3">
      <c r="A669" t="s">
        <v>2114</v>
      </c>
      <c r="B669">
        <v>2</v>
      </c>
    </row>
    <row r="670" spans="1:2" x14ac:dyDescent="0.3">
      <c r="A670" t="s">
        <v>2115</v>
      </c>
      <c r="B670">
        <v>2</v>
      </c>
    </row>
    <row r="671" spans="1:2" x14ac:dyDescent="0.3">
      <c r="A671" t="s">
        <v>738</v>
      </c>
      <c r="B671">
        <v>2</v>
      </c>
    </row>
    <row r="672" spans="1:2" x14ac:dyDescent="0.3">
      <c r="A672" t="s">
        <v>961</v>
      </c>
      <c r="B672">
        <v>2</v>
      </c>
    </row>
    <row r="673" spans="1:2" x14ac:dyDescent="0.3">
      <c r="A673" t="s">
        <v>429</v>
      </c>
      <c r="B673">
        <v>2</v>
      </c>
    </row>
    <row r="674" spans="1:2" x14ac:dyDescent="0.3">
      <c r="A674" t="s">
        <v>2116</v>
      </c>
      <c r="B674">
        <v>2</v>
      </c>
    </row>
    <row r="675" spans="1:2" x14ac:dyDescent="0.3">
      <c r="A675" t="s">
        <v>1046</v>
      </c>
      <c r="B675">
        <v>2</v>
      </c>
    </row>
    <row r="676" spans="1:2" x14ac:dyDescent="0.3">
      <c r="A676" t="s">
        <v>2117</v>
      </c>
      <c r="B676">
        <v>2</v>
      </c>
    </row>
    <row r="677" spans="1:2" x14ac:dyDescent="0.3">
      <c r="A677" t="s">
        <v>541</v>
      </c>
      <c r="B677">
        <v>2</v>
      </c>
    </row>
    <row r="678" spans="1:2" x14ac:dyDescent="0.3">
      <c r="A678" t="s">
        <v>2118</v>
      </c>
      <c r="B678">
        <v>2</v>
      </c>
    </row>
    <row r="679" spans="1:2" x14ac:dyDescent="0.3">
      <c r="A679" t="s">
        <v>2119</v>
      </c>
      <c r="B679">
        <v>2</v>
      </c>
    </row>
    <row r="680" spans="1:2" x14ac:dyDescent="0.3">
      <c r="A680" t="s">
        <v>2120</v>
      </c>
      <c r="B680">
        <v>2</v>
      </c>
    </row>
    <row r="681" spans="1:2" x14ac:dyDescent="0.3">
      <c r="A681" t="s">
        <v>1957</v>
      </c>
      <c r="B681">
        <v>2</v>
      </c>
    </row>
    <row r="682" spans="1:2" x14ac:dyDescent="0.3">
      <c r="A682" t="s">
        <v>1452</v>
      </c>
      <c r="B682">
        <v>2</v>
      </c>
    </row>
    <row r="683" spans="1:2" x14ac:dyDescent="0.3">
      <c r="A683" t="s">
        <v>2121</v>
      </c>
      <c r="B683">
        <v>2</v>
      </c>
    </row>
    <row r="684" spans="1:2" x14ac:dyDescent="0.3">
      <c r="A684" t="s">
        <v>685</v>
      </c>
      <c r="B684">
        <v>2</v>
      </c>
    </row>
    <row r="685" spans="1:2" x14ac:dyDescent="0.3">
      <c r="A685" t="s">
        <v>1495</v>
      </c>
      <c r="B685">
        <v>2</v>
      </c>
    </row>
    <row r="686" spans="1:2" x14ac:dyDescent="0.3">
      <c r="A686" t="s">
        <v>2122</v>
      </c>
      <c r="B686">
        <v>2</v>
      </c>
    </row>
    <row r="687" spans="1:2" x14ac:dyDescent="0.3">
      <c r="A687" t="s">
        <v>671</v>
      </c>
      <c r="B687">
        <v>2</v>
      </c>
    </row>
    <row r="688" spans="1:2" x14ac:dyDescent="0.3">
      <c r="A688" t="s">
        <v>2123</v>
      </c>
      <c r="B688">
        <v>2</v>
      </c>
    </row>
    <row r="689" spans="1:2" x14ac:dyDescent="0.3">
      <c r="A689" t="s">
        <v>1100</v>
      </c>
      <c r="B689">
        <v>2</v>
      </c>
    </row>
    <row r="690" spans="1:2" x14ac:dyDescent="0.3">
      <c r="A690" t="s">
        <v>473</v>
      </c>
      <c r="B690">
        <v>2</v>
      </c>
    </row>
    <row r="691" spans="1:2" x14ac:dyDescent="0.3">
      <c r="A691" t="s">
        <v>2124</v>
      </c>
      <c r="B691">
        <v>2</v>
      </c>
    </row>
    <row r="692" spans="1:2" x14ac:dyDescent="0.3">
      <c r="A692" t="s">
        <v>1092</v>
      </c>
      <c r="B692">
        <v>2</v>
      </c>
    </row>
    <row r="693" spans="1:2" x14ac:dyDescent="0.3">
      <c r="A693" t="s">
        <v>599</v>
      </c>
      <c r="B693">
        <v>2</v>
      </c>
    </row>
    <row r="694" spans="1:2" x14ac:dyDescent="0.3">
      <c r="A694" t="s">
        <v>2125</v>
      </c>
      <c r="B694">
        <v>2</v>
      </c>
    </row>
    <row r="695" spans="1:2" x14ac:dyDescent="0.3">
      <c r="A695" t="s">
        <v>2126</v>
      </c>
      <c r="B695">
        <v>2</v>
      </c>
    </row>
    <row r="696" spans="1:2" x14ac:dyDescent="0.3">
      <c r="A696" t="s">
        <v>2127</v>
      </c>
      <c r="B696">
        <v>2</v>
      </c>
    </row>
    <row r="697" spans="1:2" x14ac:dyDescent="0.3">
      <c r="A697" t="s">
        <v>2128</v>
      </c>
      <c r="B697">
        <v>2</v>
      </c>
    </row>
    <row r="698" spans="1:2" x14ac:dyDescent="0.3">
      <c r="A698" t="s">
        <v>2129</v>
      </c>
      <c r="B698">
        <v>2</v>
      </c>
    </row>
    <row r="699" spans="1:2" x14ac:dyDescent="0.3">
      <c r="A699" t="s">
        <v>2130</v>
      </c>
      <c r="B699">
        <v>2</v>
      </c>
    </row>
    <row r="700" spans="1:2" x14ac:dyDescent="0.3">
      <c r="A700" t="s">
        <v>30</v>
      </c>
      <c r="B700">
        <v>2</v>
      </c>
    </row>
    <row r="701" spans="1:2" x14ac:dyDescent="0.3">
      <c r="A701" t="s">
        <v>1796</v>
      </c>
      <c r="B701">
        <v>2</v>
      </c>
    </row>
    <row r="702" spans="1:2" x14ac:dyDescent="0.3">
      <c r="A702" t="s">
        <v>1921</v>
      </c>
      <c r="B702">
        <v>2</v>
      </c>
    </row>
    <row r="703" spans="1:2" x14ac:dyDescent="0.3">
      <c r="A703" t="s">
        <v>1742</v>
      </c>
      <c r="B703">
        <v>2</v>
      </c>
    </row>
    <row r="704" spans="1:2" x14ac:dyDescent="0.3">
      <c r="A704" t="s">
        <v>1799</v>
      </c>
      <c r="B704">
        <v>2</v>
      </c>
    </row>
    <row r="705" spans="1:2" x14ac:dyDescent="0.3">
      <c r="A705" t="s">
        <v>1885</v>
      </c>
      <c r="B705">
        <v>2</v>
      </c>
    </row>
    <row r="706" spans="1:2" x14ac:dyDescent="0.3">
      <c r="A706" t="s">
        <v>2131</v>
      </c>
      <c r="B706">
        <v>2</v>
      </c>
    </row>
    <row r="707" spans="1:2" x14ac:dyDescent="0.3">
      <c r="A707" t="s">
        <v>1846</v>
      </c>
      <c r="B707">
        <v>2</v>
      </c>
    </row>
    <row r="708" spans="1:2" x14ac:dyDescent="0.3">
      <c r="A708" t="s">
        <v>58</v>
      </c>
      <c r="B708">
        <v>2</v>
      </c>
    </row>
    <row r="709" spans="1:2" x14ac:dyDescent="0.3">
      <c r="A709" t="s">
        <v>1232</v>
      </c>
      <c r="B709">
        <v>2</v>
      </c>
    </row>
    <row r="710" spans="1:2" x14ac:dyDescent="0.3">
      <c r="A710" t="s">
        <v>467</v>
      </c>
      <c r="B710">
        <v>2</v>
      </c>
    </row>
    <row r="711" spans="1:2" x14ac:dyDescent="0.3">
      <c r="A711" t="s">
        <v>2132</v>
      </c>
      <c r="B711">
        <v>2</v>
      </c>
    </row>
    <row r="712" spans="1:2" x14ac:dyDescent="0.3">
      <c r="A712" t="s">
        <v>1644</v>
      </c>
      <c r="B712">
        <v>2</v>
      </c>
    </row>
    <row r="713" spans="1:2" x14ac:dyDescent="0.3">
      <c r="A713" t="s">
        <v>2133</v>
      </c>
      <c r="B713">
        <v>2</v>
      </c>
    </row>
    <row r="714" spans="1:2" x14ac:dyDescent="0.3">
      <c r="A714" t="s">
        <v>2134</v>
      </c>
      <c r="B714">
        <v>2</v>
      </c>
    </row>
    <row r="715" spans="1:2" x14ac:dyDescent="0.3">
      <c r="A715" t="s">
        <v>602</v>
      </c>
      <c r="B715">
        <v>2</v>
      </c>
    </row>
    <row r="716" spans="1:2" x14ac:dyDescent="0.3">
      <c r="A716" t="s">
        <v>2135</v>
      </c>
      <c r="B716">
        <v>2</v>
      </c>
    </row>
    <row r="717" spans="1:2" x14ac:dyDescent="0.3">
      <c r="A717" t="s">
        <v>2136</v>
      </c>
      <c r="B717">
        <v>2</v>
      </c>
    </row>
    <row r="718" spans="1:2" x14ac:dyDescent="0.3">
      <c r="A718" t="s">
        <v>2137</v>
      </c>
      <c r="B718">
        <v>2</v>
      </c>
    </row>
    <row r="719" spans="1:2" x14ac:dyDescent="0.3">
      <c r="A719" t="s">
        <v>2138</v>
      </c>
      <c r="B719">
        <v>2</v>
      </c>
    </row>
    <row r="720" spans="1:2" x14ac:dyDescent="0.3">
      <c r="A720" t="s">
        <v>2139</v>
      </c>
      <c r="B720">
        <v>2</v>
      </c>
    </row>
    <row r="721" spans="1:2" x14ac:dyDescent="0.3">
      <c r="A721" t="s">
        <v>2140</v>
      </c>
      <c r="B721">
        <v>2</v>
      </c>
    </row>
    <row r="722" spans="1:2" x14ac:dyDescent="0.3">
      <c r="A722" t="s">
        <v>2141</v>
      </c>
      <c r="B722">
        <v>1</v>
      </c>
    </row>
    <row r="723" spans="1:2" x14ac:dyDescent="0.3">
      <c r="A723" t="s">
        <v>2142</v>
      </c>
      <c r="B723">
        <v>1</v>
      </c>
    </row>
    <row r="724" spans="1:2" x14ac:dyDescent="0.3">
      <c r="A724" t="s">
        <v>2143</v>
      </c>
      <c r="B724">
        <v>1</v>
      </c>
    </row>
    <row r="725" spans="1:2" x14ac:dyDescent="0.3">
      <c r="A725" t="s">
        <v>2144</v>
      </c>
      <c r="B725">
        <v>1</v>
      </c>
    </row>
    <row r="726" spans="1:2" x14ac:dyDescent="0.3">
      <c r="A726" t="s">
        <v>1266</v>
      </c>
      <c r="B726">
        <v>1</v>
      </c>
    </row>
    <row r="727" spans="1:2" x14ac:dyDescent="0.3">
      <c r="A727" t="s">
        <v>2145</v>
      </c>
      <c r="B727">
        <v>1</v>
      </c>
    </row>
    <row r="728" spans="1:2" x14ac:dyDescent="0.3">
      <c r="A728" t="s">
        <v>1640</v>
      </c>
      <c r="B728">
        <v>1</v>
      </c>
    </row>
    <row r="729" spans="1:2" x14ac:dyDescent="0.3">
      <c r="A729" t="s">
        <v>2146</v>
      </c>
      <c r="B729">
        <v>1</v>
      </c>
    </row>
    <row r="730" spans="1:2" x14ac:dyDescent="0.3">
      <c r="A730" t="s">
        <v>2147</v>
      </c>
      <c r="B730">
        <v>1</v>
      </c>
    </row>
    <row r="731" spans="1:2" x14ac:dyDescent="0.3">
      <c r="A731" t="s">
        <v>2148</v>
      </c>
      <c r="B731">
        <v>1</v>
      </c>
    </row>
    <row r="732" spans="1:2" x14ac:dyDescent="0.3">
      <c r="A732" t="s">
        <v>568</v>
      </c>
      <c r="B732">
        <v>1</v>
      </c>
    </row>
    <row r="733" spans="1:2" x14ac:dyDescent="0.3">
      <c r="A733" t="s">
        <v>2149</v>
      </c>
      <c r="B733">
        <v>1</v>
      </c>
    </row>
    <row r="734" spans="1:2" x14ac:dyDescent="0.3">
      <c r="A734" t="s">
        <v>2150</v>
      </c>
      <c r="B734">
        <v>1</v>
      </c>
    </row>
    <row r="735" spans="1:2" x14ac:dyDescent="0.3">
      <c r="A735" t="s">
        <v>1353</v>
      </c>
      <c r="B735">
        <v>1</v>
      </c>
    </row>
    <row r="736" spans="1:2" x14ac:dyDescent="0.3">
      <c r="A736" t="s">
        <v>518</v>
      </c>
      <c r="B736">
        <v>1</v>
      </c>
    </row>
    <row r="737" spans="1:2" x14ac:dyDescent="0.3">
      <c r="A737" t="s">
        <v>2151</v>
      </c>
      <c r="B737">
        <v>1</v>
      </c>
    </row>
    <row r="738" spans="1:2" x14ac:dyDescent="0.3">
      <c r="A738" t="s">
        <v>2152</v>
      </c>
      <c r="B738">
        <v>1</v>
      </c>
    </row>
    <row r="739" spans="1:2" x14ac:dyDescent="0.3">
      <c r="A739" t="s">
        <v>2153</v>
      </c>
      <c r="B739">
        <v>1</v>
      </c>
    </row>
    <row r="740" spans="1:2" x14ac:dyDescent="0.3">
      <c r="A740" t="s">
        <v>478</v>
      </c>
      <c r="B740">
        <v>1</v>
      </c>
    </row>
    <row r="741" spans="1:2" x14ac:dyDescent="0.3">
      <c r="A741" t="s">
        <v>1863</v>
      </c>
      <c r="B741">
        <v>1</v>
      </c>
    </row>
    <row r="742" spans="1:2" x14ac:dyDescent="0.3">
      <c r="A742" t="s">
        <v>2154</v>
      </c>
      <c r="B742">
        <v>1</v>
      </c>
    </row>
    <row r="743" spans="1:2" x14ac:dyDescent="0.3">
      <c r="A743" t="s">
        <v>2155</v>
      </c>
      <c r="B743">
        <v>1</v>
      </c>
    </row>
    <row r="744" spans="1:2" x14ac:dyDescent="0.3">
      <c r="A744" t="s">
        <v>861</v>
      </c>
      <c r="B744">
        <v>1</v>
      </c>
    </row>
    <row r="745" spans="1:2" x14ac:dyDescent="0.3">
      <c r="A745" t="s">
        <v>767</v>
      </c>
      <c r="B745">
        <v>1</v>
      </c>
    </row>
    <row r="746" spans="1:2" x14ac:dyDescent="0.3">
      <c r="A746" t="s">
        <v>2156</v>
      </c>
      <c r="B746">
        <v>1</v>
      </c>
    </row>
    <row r="747" spans="1:2" x14ac:dyDescent="0.3">
      <c r="A747" t="s">
        <v>1429</v>
      </c>
      <c r="B747">
        <v>1</v>
      </c>
    </row>
    <row r="748" spans="1:2" x14ac:dyDescent="0.3">
      <c r="A748" t="s">
        <v>2157</v>
      </c>
      <c r="B748">
        <v>1</v>
      </c>
    </row>
    <row r="749" spans="1:2" x14ac:dyDescent="0.3">
      <c r="A749" t="s">
        <v>2158</v>
      </c>
      <c r="B749">
        <v>1</v>
      </c>
    </row>
    <row r="750" spans="1:2" x14ac:dyDescent="0.3">
      <c r="A750" t="s">
        <v>413</v>
      </c>
      <c r="B750">
        <v>1</v>
      </c>
    </row>
    <row r="751" spans="1:2" x14ac:dyDescent="0.3">
      <c r="A751" t="s">
        <v>2159</v>
      </c>
      <c r="B751">
        <v>1</v>
      </c>
    </row>
    <row r="752" spans="1:2" x14ac:dyDescent="0.3">
      <c r="A752" t="s">
        <v>2160</v>
      </c>
      <c r="B752">
        <v>1</v>
      </c>
    </row>
    <row r="753" spans="1:2" x14ac:dyDescent="0.3">
      <c r="A753" t="s">
        <v>2161</v>
      </c>
      <c r="B753">
        <v>1</v>
      </c>
    </row>
    <row r="754" spans="1:2" x14ac:dyDescent="0.3">
      <c r="A754" t="s">
        <v>2162</v>
      </c>
      <c r="B754">
        <v>1</v>
      </c>
    </row>
    <row r="755" spans="1:2" x14ac:dyDescent="0.3">
      <c r="A755" t="s">
        <v>1293</v>
      </c>
      <c r="B755">
        <v>1</v>
      </c>
    </row>
    <row r="756" spans="1:2" x14ac:dyDescent="0.3">
      <c r="A756" t="s">
        <v>470</v>
      </c>
      <c r="B756">
        <v>1</v>
      </c>
    </row>
    <row r="757" spans="1:2" x14ac:dyDescent="0.3">
      <c r="A757" t="s">
        <v>726</v>
      </c>
      <c r="B757">
        <v>1</v>
      </c>
    </row>
    <row r="758" spans="1:2" x14ac:dyDescent="0.3">
      <c r="A758" t="s">
        <v>852</v>
      </c>
      <c r="B758">
        <v>1</v>
      </c>
    </row>
    <row r="759" spans="1:2" x14ac:dyDescent="0.3">
      <c r="A759" t="s">
        <v>1018</v>
      </c>
      <c r="B759">
        <v>1</v>
      </c>
    </row>
    <row r="760" spans="1:2" x14ac:dyDescent="0.3">
      <c r="A760" t="s">
        <v>2163</v>
      </c>
      <c r="B760">
        <v>1</v>
      </c>
    </row>
    <row r="761" spans="1:2" x14ac:dyDescent="0.3">
      <c r="A761" t="s">
        <v>581</v>
      </c>
      <c r="B761">
        <v>1</v>
      </c>
    </row>
    <row r="762" spans="1:2" x14ac:dyDescent="0.3">
      <c r="A762" t="s">
        <v>1124</v>
      </c>
      <c r="B762">
        <v>1</v>
      </c>
    </row>
    <row r="763" spans="1:2" x14ac:dyDescent="0.3">
      <c r="A763" t="s">
        <v>2164</v>
      </c>
      <c r="B763">
        <v>1</v>
      </c>
    </row>
    <row r="764" spans="1:2" x14ac:dyDescent="0.3">
      <c r="A764" t="s">
        <v>815</v>
      </c>
      <c r="B764">
        <v>1</v>
      </c>
    </row>
    <row r="765" spans="1:2" x14ac:dyDescent="0.3">
      <c r="A765" t="s">
        <v>2165</v>
      </c>
      <c r="B765">
        <v>1</v>
      </c>
    </row>
    <row r="766" spans="1:2" x14ac:dyDescent="0.3">
      <c r="A766" t="s">
        <v>318</v>
      </c>
      <c r="B766">
        <v>1</v>
      </c>
    </row>
    <row r="767" spans="1:2" x14ac:dyDescent="0.3">
      <c r="A767" t="s">
        <v>2166</v>
      </c>
      <c r="B767">
        <v>1</v>
      </c>
    </row>
    <row r="768" spans="1:2" x14ac:dyDescent="0.3">
      <c r="A768" t="s">
        <v>735</v>
      </c>
      <c r="B768">
        <v>1</v>
      </c>
    </row>
    <row r="769" spans="1:2" x14ac:dyDescent="0.3">
      <c r="A769" t="s">
        <v>2167</v>
      </c>
      <c r="B769">
        <v>1</v>
      </c>
    </row>
    <row r="770" spans="1:2" x14ac:dyDescent="0.3">
      <c r="A770" t="s">
        <v>2168</v>
      </c>
      <c r="B770">
        <v>1</v>
      </c>
    </row>
    <row r="771" spans="1:2" x14ac:dyDescent="0.3">
      <c r="A771" t="s">
        <v>2169</v>
      </c>
      <c r="B771">
        <v>1</v>
      </c>
    </row>
    <row r="772" spans="1:2" x14ac:dyDescent="0.3">
      <c r="A772" t="s">
        <v>2170</v>
      </c>
      <c r="B772">
        <v>1</v>
      </c>
    </row>
    <row r="773" spans="1:2" x14ac:dyDescent="0.3">
      <c r="A773" t="s">
        <v>2171</v>
      </c>
      <c r="B773">
        <v>1</v>
      </c>
    </row>
    <row r="774" spans="1:2" x14ac:dyDescent="0.3">
      <c r="A774" t="s">
        <v>1075</v>
      </c>
      <c r="B774">
        <v>1</v>
      </c>
    </row>
    <row r="775" spans="1:2" x14ac:dyDescent="0.3">
      <c r="A775" t="s">
        <v>1034</v>
      </c>
      <c r="B775">
        <v>1</v>
      </c>
    </row>
    <row r="776" spans="1:2" x14ac:dyDescent="0.3">
      <c r="A776" t="s">
        <v>2172</v>
      </c>
      <c r="B776">
        <v>1</v>
      </c>
    </row>
    <row r="777" spans="1:2" x14ac:dyDescent="0.3">
      <c r="A777" t="s">
        <v>926</v>
      </c>
      <c r="B777">
        <v>1</v>
      </c>
    </row>
    <row r="778" spans="1:2" x14ac:dyDescent="0.3">
      <c r="A778" t="s">
        <v>2173</v>
      </c>
      <c r="B778">
        <v>1</v>
      </c>
    </row>
    <row r="779" spans="1:2" x14ac:dyDescent="0.3">
      <c r="A779" t="s">
        <v>2174</v>
      </c>
      <c r="B779">
        <v>1</v>
      </c>
    </row>
    <row r="780" spans="1:2" x14ac:dyDescent="0.3">
      <c r="A780" t="s">
        <v>611</v>
      </c>
      <c r="B780">
        <v>1</v>
      </c>
    </row>
    <row r="781" spans="1:2" x14ac:dyDescent="0.3">
      <c r="A781" t="s">
        <v>2175</v>
      </c>
      <c r="B781">
        <v>1</v>
      </c>
    </row>
    <row r="782" spans="1:2" x14ac:dyDescent="0.3">
      <c r="A782" t="s">
        <v>1240</v>
      </c>
      <c r="B782">
        <v>1</v>
      </c>
    </row>
    <row r="783" spans="1:2" x14ac:dyDescent="0.3">
      <c r="A783" t="s">
        <v>2176</v>
      </c>
      <c r="B783">
        <v>1</v>
      </c>
    </row>
    <row r="784" spans="1:2" x14ac:dyDescent="0.3">
      <c r="A784" t="s">
        <v>362</v>
      </c>
      <c r="B784">
        <v>1</v>
      </c>
    </row>
    <row r="785" spans="1:2" x14ac:dyDescent="0.3">
      <c r="A785" t="s">
        <v>2177</v>
      </c>
      <c r="B785">
        <v>1</v>
      </c>
    </row>
    <row r="786" spans="1:2" x14ac:dyDescent="0.3">
      <c r="A786" t="s">
        <v>1965</v>
      </c>
      <c r="B786">
        <v>1</v>
      </c>
    </row>
    <row r="787" spans="1:2" x14ac:dyDescent="0.3">
      <c r="A787" t="s">
        <v>303</v>
      </c>
      <c r="B787">
        <v>1</v>
      </c>
    </row>
    <row r="788" spans="1:2" x14ac:dyDescent="0.3">
      <c r="A788" t="s">
        <v>2178</v>
      </c>
      <c r="B788">
        <v>1</v>
      </c>
    </row>
    <row r="789" spans="1:2" x14ac:dyDescent="0.3">
      <c r="A789" t="s">
        <v>315</v>
      </c>
      <c r="B789">
        <v>1</v>
      </c>
    </row>
    <row r="790" spans="1:2" x14ac:dyDescent="0.3">
      <c r="A790" t="s">
        <v>2179</v>
      </c>
      <c r="B790">
        <v>1</v>
      </c>
    </row>
    <row r="791" spans="1:2" x14ac:dyDescent="0.3">
      <c r="A791" t="s">
        <v>2180</v>
      </c>
      <c r="B791">
        <v>1</v>
      </c>
    </row>
    <row r="792" spans="1:2" x14ac:dyDescent="0.3">
      <c r="A792" t="s">
        <v>1667</v>
      </c>
      <c r="B792">
        <v>1</v>
      </c>
    </row>
    <row r="793" spans="1:2" x14ac:dyDescent="0.3">
      <c r="A793" t="s">
        <v>2181</v>
      </c>
      <c r="B793">
        <v>1</v>
      </c>
    </row>
    <row r="794" spans="1:2" x14ac:dyDescent="0.3">
      <c r="A794" t="s">
        <v>550</v>
      </c>
      <c r="B794">
        <v>1</v>
      </c>
    </row>
    <row r="795" spans="1:2" x14ac:dyDescent="0.3">
      <c r="A795" t="s">
        <v>2182</v>
      </c>
      <c r="B795">
        <v>1</v>
      </c>
    </row>
    <row r="796" spans="1:2" x14ac:dyDescent="0.3">
      <c r="A796" t="s">
        <v>2183</v>
      </c>
      <c r="B796">
        <v>1</v>
      </c>
    </row>
    <row r="797" spans="1:2" x14ac:dyDescent="0.3">
      <c r="A797" t="s">
        <v>2184</v>
      </c>
      <c r="B797">
        <v>1</v>
      </c>
    </row>
    <row r="798" spans="1:2" x14ac:dyDescent="0.3">
      <c r="A798" t="s">
        <v>128</v>
      </c>
      <c r="B798">
        <v>1</v>
      </c>
    </row>
    <row r="799" spans="1:2" x14ac:dyDescent="0.3">
      <c r="A799" t="s">
        <v>1716</v>
      </c>
      <c r="B799">
        <v>1</v>
      </c>
    </row>
    <row r="800" spans="1:2" x14ac:dyDescent="0.3">
      <c r="A800" t="s">
        <v>1168</v>
      </c>
      <c r="B800">
        <v>1</v>
      </c>
    </row>
    <row r="801" spans="1:2" x14ac:dyDescent="0.3">
      <c r="A801" t="s">
        <v>2185</v>
      </c>
      <c r="B801">
        <v>1</v>
      </c>
    </row>
    <row r="802" spans="1:2" x14ac:dyDescent="0.3">
      <c r="A802" t="s">
        <v>2186</v>
      </c>
      <c r="B802">
        <v>1</v>
      </c>
    </row>
    <row r="803" spans="1:2" x14ac:dyDescent="0.3">
      <c r="A803" t="s">
        <v>2187</v>
      </c>
      <c r="B803">
        <v>1</v>
      </c>
    </row>
    <row r="804" spans="1:2" x14ac:dyDescent="0.3">
      <c r="A804" t="s">
        <v>1576</v>
      </c>
      <c r="B804">
        <v>1</v>
      </c>
    </row>
    <row r="805" spans="1:2" x14ac:dyDescent="0.3">
      <c r="A805" t="s">
        <v>1560</v>
      </c>
      <c r="B805">
        <v>1</v>
      </c>
    </row>
    <row r="806" spans="1:2" x14ac:dyDescent="0.3">
      <c r="A806" t="s">
        <v>2188</v>
      </c>
      <c r="B806">
        <v>1</v>
      </c>
    </row>
    <row r="807" spans="1:2" x14ac:dyDescent="0.3">
      <c r="A807" t="s">
        <v>2189</v>
      </c>
      <c r="B807">
        <v>1</v>
      </c>
    </row>
    <row r="808" spans="1:2" x14ac:dyDescent="0.3">
      <c r="A808" t="s">
        <v>691</v>
      </c>
      <c r="B808">
        <v>1</v>
      </c>
    </row>
    <row r="809" spans="1:2" x14ac:dyDescent="0.3">
      <c r="A809" t="s">
        <v>760</v>
      </c>
      <c r="B809">
        <v>1</v>
      </c>
    </row>
    <row r="810" spans="1:2" x14ac:dyDescent="0.3">
      <c r="A810" t="s">
        <v>1196</v>
      </c>
      <c r="B810">
        <v>1</v>
      </c>
    </row>
    <row r="811" spans="1:2" x14ac:dyDescent="0.3">
      <c r="A811" t="s">
        <v>2190</v>
      </c>
      <c r="B811">
        <v>1</v>
      </c>
    </row>
    <row r="812" spans="1:2" x14ac:dyDescent="0.3">
      <c r="A812" t="s">
        <v>2191</v>
      </c>
      <c r="B812">
        <v>1</v>
      </c>
    </row>
    <row r="813" spans="1:2" x14ac:dyDescent="0.3">
      <c r="A813" t="s">
        <v>1485</v>
      </c>
      <c r="B813">
        <v>1</v>
      </c>
    </row>
    <row r="814" spans="1:2" x14ac:dyDescent="0.3">
      <c r="A814" t="s">
        <v>476</v>
      </c>
      <c r="B814">
        <v>1</v>
      </c>
    </row>
    <row r="815" spans="1:2" x14ac:dyDescent="0.3">
      <c r="A815" t="s">
        <v>2192</v>
      </c>
      <c r="B815">
        <v>1</v>
      </c>
    </row>
    <row r="816" spans="1:2" x14ac:dyDescent="0.3">
      <c r="A816" t="s">
        <v>2193</v>
      </c>
      <c r="B816">
        <v>1</v>
      </c>
    </row>
    <row r="817" spans="1:2" x14ac:dyDescent="0.3">
      <c r="A817" t="s">
        <v>2194</v>
      </c>
      <c r="B817">
        <v>1</v>
      </c>
    </row>
    <row r="818" spans="1:2" x14ac:dyDescent="0.3">
      <c r="A818" t="s">
        <v>2195</v>
      </c>
      <c r="B818">
        <v>1</v>
      </c>
    </row>
    <row r="819" spans="1:2" x14ac:dyDescent="0.3">
      <c r="A819" t="s">
        <v>741</v>
      </c>
      <c r="B819">
        <v>1</v>
      </c>
    </row>
    <row r="820" spans="1:2" x14ac:dyDescent="0.3">
      <c r="A820" t="s">
        <v>797</v>
      </c>
      <c r="B820">
        <v>1</v>
      </c>
    </row>
    <row r="821" spans="1:2" x14ac:dyDescent="0.3">
      <c r="A821" t="s">
        <v>2196</v>
      </c>
      <c r="B821">
        <v>1</v>
      </c>
    </row>
    <row r="822" spans="1:2" x14ac:dyDescent="0.3">
      <c r="A822" t="s">
        <v>1969</v>
      </c>
      <c r="B822">
        <v>1</v>
      </c>
    </row>
    <row r="823" spans="1:2" x14ac:dyDescent="0.3">
      <c r="A823" t="s">
        <v>1468</v>
      </c>
      <c r="B823">
        <v>1</v>
      </c>
    </row>
    <row r="824" spans="1:2" x14ac:dyDescent="0.3">
      <c r="A824" t="s">
        <v>929</v>
      </c>
      <c r="B824">
        <v>1</v>
      </c>
    </row>
    <row r="825" spans="1:2" x14ac:dyDescent="0.3">
      <c r="A825" t="s">
        <v>2197</v>
      </c>
      <c r="B825">
        <v>1</v>
      </c>
    </row>
    <row r="826" spans="1:2" x14ac:dyDescent="0.3">
      <c r="A826" t="s">
        <v>2198</v>
      </c>
      <c r="B826">
        <v>1</v>
      </c>
    </row>
    <row r="827" spans="1:2" x14ac:dyDescent="0.3">
      <c r="A827" t="s">
        <v>1585</v>
      </c>
      <c r="B827">
        <v>1</v>
      </c>
    </row>
    <row r="828" spans="1:2" x14ac:dyDescent="0.3">
      <c r="A828" t="s">
        <v>2199</v>
      </c>
      <c r="B828">
        <v>1</v>
      </c>
    </row>
    <row r="829" spans="1:2" x14ac:dyDescent="0.3">
      <c r="A829" t="s">
        <v>2200</v>
      </c>
      <c r="B829">
        <v>1</v>
      </c>
    </row>
    <row r="830" spans="1:2" x14ac:dyDescent="0.3">
      <c r="A830" t="s">
        <v>2201</v>
      </c>
      <c r="B830">
        <v>1</v>
      </c>
    </row>
    <row r="831" spans="1:2" x14ac:dyDescent="0.3">
      <c r="A831" t="s">
        <v>2202</v>
      </c>
      <c r="B831">
        <v>1</v>
      </c>
    </row>
    <row r="832" spans="1:2" x14ac:dyDescent="0.3">
      <c r="A832" t="s">
        <v>2203</v>
      </c>
      <c r="B832">
        <v>1</v>
      </c>
    </row>
    <row r="833" spans="1:2" x14ac:dyDescent="0.3">
      <c r="A833" t="s">
        <v>2204</v>
      </c>
      <c r="B833">
        <v>1</v>
      </c>
    </row>
    <row r="834" spans="1:2" x14ac:dyDescent="0.3">
      <c r="A834" t="s">
        <v>378</v>
      </c>
      <c r="B834">
        <v>1</v>
      </c>
    </row>
    <row r="835" spans="1:2" x14ac:dyDescent="0.3">
      <c r="A835" t="s">
        <v>2205</v>
      </c>
      <c r="B835">
        <v>1</v>
      </c>
    </row>
    <row r="836" spans="1:2" x14ac:dyDescent="0.3">
      <c r="A836" t="s">
        <v>1401</v>
      </c>
      <c r="B836">
        <v>1</v>
      </c>
    </row>
    <row r="837" spans="1:2" x14ac:dyDescent="0.3">
      <c r="A837" t="s">
        <v>1705</v>
      </c>
      <c r="B837">
        <v>1</v>
      </c>
    </row>
    <row r="838" spans="1:2" x14ac:dyDescent="0.3">
      <c r="A838" t="s">
        <v>2206</v>
      </c>
      <c r="B838">
        <v>1</v>
      </c>
    </row>
    <row r="839" spans="1:2" x14ac:dyDescent="0.3">
      <c r="A839" t="s">
        <v>399</v>
      </c>
      <c r="B839">
        <v>1</v>
      </c>
    </row>
    <row r="840" spans="1:2" x14ac:dyDescent="0.3">
      <c r="A840" t="s">
        <v>2207</v>
      </c>
      <c r="B840">
        <v>1</v>
      </c>
    </row>
    <row r="841" spans="1:2" x14ac:dyDescent="0.3">
      <c r="A841" t="s">
        <v>2208</v>
      </c>
      <c r="B841">
        <v>1</v>
      </c>
    </row>
    <row r="842" spans="1:2" x14ac:dyDescent="0.3">
      <c r="A842" t="s">
        <v>2209</v>
      </c>
      <c r="B842">
        <v>1</v>
      </c>
    </row>
    <row r="843" spans="1:2" x14ac:dyDescent="0.3">
      <c r="A843" t="s">
        <v>2210</v>
      </c>
      <c r="B843">
        <v>1</v>
      </c>
    </row>
    <row r="844" spans="1:2" x14ac:dyDescent="0.3">
      <c r="A844" t="s">
        <v>2211</v>
      </c>
      <c r="B844">
        <v>1</v>
      </c>
    </row>
    <row r="845" spans="1:2" x14ac:dyDescent="0.3">
      <c r="A845" t="s">
        <v>2212</v>
      </c>
      <c r="B845">
        <v>1</v>
      </c>
    </row>
    <row r="846" spans="1:2" x14ac:dyDescent="0.3">
      <c r="A846" t="s">
        <v>2213</v>
      </c>
      <c r="B846">
        <v>1</v>
      </c>
    </row>
    <row r="847" spans="1:2" x14ac:dyDescent="0.3">
      <c r="A847" t="s">
        <v>366</v>
      </c>
      <c r="B847">
        <v>1</v>
      </c>
    </row>
    <row r="848" spans="1:2" x14ac:dyDescent="0.3">
      <c r="A848" t="s">
        <v>1435</v>
      </c>
      <c r="B848">
        <v>1</v>
      </c>
    </row>
    <row r="849" spans="1:2" x14ac:dyDescent="0.3">
      <c r="A849" t="s">
        <v>565</v>
      </c>
      <c r="B849">
        <v>1</v>
      </c>
    </row>
    <row r="850" spans="1:2" x14ac:dyDescent="0.3">
      <c r="A850" t="s">
        <v>2214</v>
      </c>
      <c r="B850">
        <v>1</v>
      </c>
    </row>
    <row r="851" spans="1:2" x14ac:dyDescent="0.3">
      <c r="A851" t="s">
        <v>2215</v>
      </c>
      <c r="B851">
        <v>1</v>
      </c>
    </row>
    <row r="852" spans="1:2" x14ac:dyDescent="0.3">
      <c r="A852" t="s">
        <v>166</v>
      </c>
      <c r="B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Witzig</cp:lastModifiedBy>
  <dcterms:created xsi:type="dcterms:W3CDTF">2026-03-27T20:27:40Z</dcterms:created>
  <dcterms:modified xsi:type="dcterms:W3CDTF">2026-03-27T21:58:58Z</dcterms:modified>
</cp:coreProperties>
</file>